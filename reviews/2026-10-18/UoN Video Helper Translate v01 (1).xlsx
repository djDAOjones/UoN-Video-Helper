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<sst xmlns="http://schemas.openxmlformats.org/spreadsheetml/2006/main" count="1272" uniqueCount="870">
  <si>
    <t>key</t>
  </si>
  <si>
    <t>where it shows on the page</t>
  </si>
  <si>
    <t>English</t>
  </si>
  <si>
    <t>notes</t>
  </si>
  <si>
    <t>Chinese (Simplified)</t>
  </si>
  <si>
    <t>Bahasa Malaysia</t>
  </si>
  <si>
    <t>app.title</t>
  </si>
  <si>
    <t>The page heading, and the title in the browser tab</t>
  </si>
  <si>
    <t>UoN Video Helper</t>
  </si>
  <si>
    <t>The product name. UoN stands for University of Nottingham.</t>
  </si>
  <si>
    <t>app.description</t>
  </si>
  <si>
    <t>Not shown on the page: its description for search engines and link previews</t>
  </si>
  <si>
    <t>Add approved University of Nottingham branding and consistent audio levels to a video, and get an optimised file back, without uploading it anywhere.</t>
  </si>
  <si>
    <t>app.skipLink</t>
  </si>
  <si>
    <t>A link at the very top, seen when moving through the page with the Tab key</t>
  </si>
  <si>
    <t>Skip to main content</t>
  </si>
  <si>
    <t>language.label</t>
  </si>
  <si>
    <t>The language switcher at the top of the page (read out by screen readers)</t>
  </si>
  <si>
    <t>Page language</t>
  </si>
  <si>
    <t>The name of the language switcher, for screen readers.</t>
  </si>
  <si>
    <t>language.switched</t>
  </si>
  <si>
    <t>Not shown: read out by screen readers when the language changes</t>
  </si>
  <si>
    <t>Page language: {name}.</t>
  </si>
  <si>
    <t>Keep {name} as written: {name} is a name: a language's own name, or the user's file name.</t>
  </si>
  <si>
    <t>lede.intro</t>
  </si>
  <si>
    <t>Under the page heading: what the tool does</t>
  </si>
  <si>
    <t>This tool does the following to your video:</t>
  </si>
  <si>
    <t>Introduces the three lines that follow.</t>
  </si>
  <si>
    <t>lede.promises.0</t>
  </si>
  <si>
    <t>Adds approved branding.</t>
  </si>
  <si>
    <t>lede.promises.1</t>
  </si>
  <si>
    <t>Ensures consistent audio levels.</t>
  </si>
  <si>
    <t>lede.promises.2</t>
  </si>
  <si>
    <t>Outputs an optimised file type and size.</t>
  </si>
  <si>
    <t>lede.privacy</t>
  </si>
  <si>
    <t>Your video is processed on your device, it is never uploaded, and the original file does not change.</t>
  </si>
  <si>
    <t>browserNote.pending</t>
  </si>
  <si>
    <t>Under the page heading: the note about the browser</t>
  </si>
  <si>
    <t>This app is designed and built for Chrome, other browsers may not work.</t>
  </si>
  <si>
    <t>browserNote.notPassed</t>
  </si>
  <si>
    <t>This app is designed and built for Chrome, and this browser has not passed all of its checks. The system check at the foot of the page says what is missing.</t>
  </si>
  <si>
    <t>browserNote.passed</t>
  </si>
  <si>
    <t>This app is designed and built for Chrome, and this browser has passed the checks for it.</t>
  </si>
  <si>
    <t>steps.choose</t>
  </si>
  <si>
    <t>The heading of each of the five steps</t>
  </si>
  <si>
    <t>Choose a video</t>
  </si>
  <si>
    <t>steps.trim</t>
  </si>
  <si>
    <t>Trim</t>
  </si>
  <si>
    <t>steps.closing</t>
  </si>
  <si>
    <t>Closing branding</t>
  </si>
  <si>
    <t>steps.preset</t>
  </si>
  <si>
    <t>File size / quality</t>
  </si>
  <si>
    <t>steps.create</t>
  </si>
  <si>
    <t>Create</t>
  </si>
  <si>
    <t>choose.dropHint</t>
  </si>
  <si>
    <t>Step 1, Choose a video</t>
  </si>
  <si>
    <t>Or drop it here.</t>
  </si>
  <si>
    <t>choose.dropHeld</t>
  </si>
  <si>
    <t>Let go to read this video.</t>
  </si>
  <si>
    <t>choose.reading</t>
  </si>
  <si>
    <t>Reading the video…</t>
  </si>
  <si>
    <t>choose.drop.making</t>
  </si>
  <si>
    <t>Step 1: the message when something is dropped on the drop area</t>
  </si>
  <si>
    <t>A video is being made. Cancel it, or wait for it to finish, before choosing another.</t>
  </si>
  <si>
    <t>choose.drop.saving</t>
  </si>
  <si>
    <t>A video is being saved. Stop the save, or wait for it to finish, before choosing another.</t>
  </si>
  <si>
    <t>choose.drop.starting</t>
  </si>
  <si>
    <t>The tool is still getting ready. Drop the video again in a moment.</t>
  </si>
  <si>
    <t>choose.drop.unavailable</t>
  </si>
  <si>
    <t>This browser cannot run the tool, so no video can be read here. The message below says what to do.</t>
  </si>
  <si>
    <t>choose.drop.nothing</t>
  </si>
  <si>
    <t>Nothing was dropped that could be read. Drop a video file.</t>
  </si>
  <si>
    <t>choose.drop.several</t>
  </si>
  <si>
    <t>That was {count} files. Drop one video at a time.</t>
  </si>
  <si>
    <t>Keep {count} as written: {count} is a number.</t>
  </si>
  <si>
    <t>choose.drop.notVideo</t>
  </si>
  <si>
    <t>That is not a video file. Drop a video — a file whose name ends .mp4 or .mov, say — or choose one above.</t>
  </si>
  <si>
    <t>source.readSummary</t>
  </si>
  <si>
    <t>Step 1: what the video is, once it has been read</t>
  </si>
  <si>
    <t>Video read. {facts}.</t>
  </si>
  <si>
    <t>Keep {facts} as written: {facts} is a list of facts about the video, like "4 minutes 12 seconds, 1920 × 1080, stereo (two channels)".</t>
  </si>
  <si>
    <t>source.variableFrameRate</t>
  </si>
  <si>
    <t>variable frame rate</t>
  </si>
  <si>
    <t>source.noSound</t>
  </si>
  <si>
    <t>no sound</t>
  </si>
  <si>
    <t>source.properties</t>
  </si>
  <si>
    <t>Video properties</t>
  </si>
  <si>
    <t>source.lossesTitle</t>
  </si>
  <si>
    <t>Not carried into the new file</t>
  </si>
  <si>
    <t>source.rows.duration</t>
  </si>
  <si>
    <t>Step 1: Video properties, the name of each row</t>
  </si>
  <si>
    <t>Duration</t>
  </si>
  <si>
    <t>source.rows.videoFormat</t>
  </si>
  <si>
    <t>Video format</t>
  </si>
  <si>
    <t>source.rows.fileSize</t>
  </si>
  <si>
    <t>File size</t>
  </si>
  <si>
    <t>source.rows.resolution</t>
  </si>
  <si>
    <t>Resolution</t>
  </si>
  <si>
    <t>source.rows.frameRate</t>
  </si>
  <si>
    <t>Frame rate</t>
  </si>
  <si>
    <t>source.rows.soundFormat</t>
  </si>
  <si>
    <t>Sound format</t>
  </si>
  <si>
    <t>source.rows.soundChannels</t>
  </si>
  <si>
    <t>Sound channels</t>
  </si>
  <si>
    <t>source.rows.sampleRate</t>
  </si>
  <si>
    <t>Sound sample rate</t>
  </si>
  <si>
    <t>source.rows.sound</t>
  </si>
  <si>
    <t>Sound</t>
  </si>
  <si>
    <t>source.rows.captions</t>
  </si>
  <si>
    <t>Captions</t>
  </si>
  <si>
    <t>source.rows.fileType</t>
  </si>
  <si>
    <t>File type</t>
  </si>
  <si>
    <t>source.cannotDecodeVideo</t>
  </si>
  <si>
    <t>This browser cannot read this video format.</t>
  </si>
  <si>
    <t>source.cannotDecodeAudio</t>
  </si>
  <si>
    <t>This browser cannot read this audio format.</t>
  </si>
  <si>
    <t>source.rotated</t>
  </si>
  <si>
    <t>Rotated {degrees}°. The output will be upright.</t>
  </si>
  <si>
    <t>Keep {degrees} as written: {degrees} is a number of degrees.</t>
  </si>
  <si>
    <t>source.variesOnAverage</t>
  </si>
  <si>
    <t>{rate} on average, but it varies</t>
  </si>
  <si>
    <t>Keep {rate} as written: {rate} is a frame rate, like "25 frames a second".</t>
  </si>
  <si>
    <t>source.variesNote</t>
  </si>
  <si>
    <t>Recordings from Teams, Zoom and screen capture often vary. The output will use a steady frame rate, which keeps sound and picture in step.</t>
  </si>
  <si>
    <t>source.outputRate</t>
  </si>
  <si>
    <t>The output will run at {rate}, so some frames will be repeated.</t>
  </si>
  <si>
    <t>source.sampleRate</t>
  </si>
  <si>
    <t>{kilohertz} kHz — {hertz} samples a second</t>
  </si>
  <si>
    <t>Keep {kilohertz}, {hertz} as written: {kilohertz} is a number; {hertz} is a number.</t>
  </si>
  <si>
    <t>source.noSoundTrack</t>
  </si>
  <si>
    <t>No sound track found</t>
  </si>
  <si>
    <t>source.noSoundNote</t>
  </si>
  <si>
    <t>Levelling needs sound. The rest of the job still runs.</t>
  </si>
  <si>
    <t>source.captionsUnchecked</t>
  </si>
  <si>
    <t>Could not be checked in this kind of file</t>
  </si>
  <si>
    <t>source.captionsFound</t>
  </si>
  <si>
    <t>Found {found}</t>
  </si>
  <si>
    <t>Keep {found} as written: {found} is a list, like "2 caption tracks and 1 chapter track".</t>
  </si>
  <si>
    <t>source.captionsNone</t>
  </si>
  <si>
    <t>None found in this file</t>
  </si>
  <si>
    <t>source.captionTracks.one</t>
  </si>
  <si>
    <t>{count} caption track</t>
  </si>
  <si>
    <t>Used when the count is 1. Keep {count} as written: {count} is a number.</t>
  </si>
  <si>
    <t>source.captionTracks.other</t>
  </si>
  <si>
    <t>{count} caption tracks</t>
  </si>
  <si>
    <t>Used for any count other than 1. Fill it even if your language has one form. Keep {count} as written: {count} is a number.</t>
  </si>
  <si>
    <t>source.chapterTracks.one</t>
  </si>
  <si>
    <t>{count} chapter track</t>
  </si>
  <si>
    <t>source.chapterTracks.other</t>
  </si>
  <si>
    <t>{count} chapter tracks</t>
  </si>
  <si>
    <t>source.moreVideoTracks.one</t>
  </si>
  <si>
    <t>{count} more video track</t>
  </si>
  <si>
    <t>source.moreVideoTracks.other</t>
  </si>
  <si>
    <t>{count} more video tracks</t>
  </si>
  <si>
    <t>source.moreSoundTracks.one</t>
  </si>
  <si>
    <t>{count} more sound track</t>
  </si>
  <si>
    <t>source.moreSoundTracks.other</t>
  </si>
  <si>
    <t>{count} more sound tracks</t>
  </si>
  <si>
    <t>source.losses.extraTracksTitle</t>
  </si>
  <si>
    <t>Step 1: the box listing what will not be carried into the new file</t>
  </si>
  <si>
    <t>This file has {found}</t>
  </si>
  <si>
    <t>source.losses.extraTracksDetail</t>
  </si>
  <si>
    <t>The new file keeps one picture and one sound track — the ones listed under Video properties. The others will not be carried over, and one of them may hold an alternative, such as another language or an audio description. If you need them, keep the original alongside.</t>
  </si>
  <si>
    <t>source.losses.uncheckedTitle</t>
  </si>
  <si>
    <t>Caption and chapter tracks could not be checked</t>
  </si>
  <si>
    <t>source.losses.uncheckedDetail</t>
  </si>
  <si>
    <t>This kind of file cannot be checked for them. If yours has them, they will not be carried over.</t>
  </si>
  <si>
    <t>source.losses.captionsConsequence</t>
  </si>
  <si>
    <t>The new file will have no caption track, so wherever you publish it must supply captions. EchoVideo makes its own after upload — check them. A file sent directly needs captions added by you. Captions drawn into the picture stay.</t>
  </si>
  <si>
    <t>source.losses.chaptersConsequence</t>
  </si>
  <si>
    <t>The chapters will not be in the new file.</t>
  </si>
  <si>
    <t>source.losses.keepOriginals</t>
  </si>
  <si>
    <t>If you need the originals, keep this file alongside.</t>
  </si>
  <si>
    <t>trim.intro</t>
  </si>
  <si>
    <t>Step 2, Trim</t>
  </si>
  <si>
    <t>Optional. Cut unwanted material from the start or the end. Left alone, the whole video is kept. The preview plays your original as it is now: the sound is levelled and the closing added when the video is made.</t>
  </si>
  <si>
    <t>trim.noPreview</t>
  </si>
  <si>
    <t>A preview is not available for this file. You can still set the times.</t>
  </si>
  <si>
    <t>trim.start</t>
  </si>
  <si>
    <t>Start</t>
  </si>
  <si>
    <t>trim.end</t>
  </si>
  <si>
    <t>End</t>
  </si>
  <si>
    <t>trim.startTime</t>
  </si>
  <si>
    <t>Start time</t>
  </si>
  <si>
    <t>trim.endTime</t>
  </si>
  <si>
    <t>End time</t>
  </si>
  <si>
    <t>trim.setStart</t>
  </si>
  <si>
    <t>Set start here</t>
  </si>
  <si>
    <t>trim.setEnd</t>
  </si>
  <si>
    <t>Set end here</t>
  </si>
  <si>
    <t>trim.format</t>
  </si>
  <si>
    <t>Minutes and seconds, like 1:05.5, or seconds, like 65.5.</t>
  </si>
  <si>
    <t>Keep the example times 1:05.5 and 65.5 as they are.</t>
  </si>
  <si>
    <t>trim.useWhole</t>
  </si>
  <si>
    <t>Use the whole video</t>
  </si>
  <si>
    <t>trim.reading</t>
  </si>
  <si>
    <t>trim.unreadable</t>
  </si>
  <si>
    <t>There is no video to trim: that file could not be read.</t>
  </si>
  <si>
    <t>trim.tooShort</t>
  </si>
  <si>
    <t>It is shorter than {seconds} seconds, so it cannot be trimmed.</t>
  </si>
  <si>
    <t>Keep {seconds} as written: {seconds} is a number of seconds.</t>
  </si>
  <si>
    <t>trim.keepingWhole</t>
  </si>
  <si>
    <t>Keeping the whole video, {duration}.</t>
  </si>
  <si>
    <t>Keep {duration} as written: {duration} is a length of time in words, like "4 minutes 12 seconds".</t>
  </si>
  <si>
    <t>trim.keeping</t>
  </si>
  <si>
    <t>Keeping {kept} of {duration}.</t>
  </si>
  <si>
    <t>Keep {kept}, {duration} as written: {kept} is a length of time in words; {duration} is a length of time in words, like "4 minutes 12 seconds".</t>
  </si>
  <si>
    <t>trim.handleBeginning</t>
  </si>
  <si>
    <t>the beginning</t>
  </si>
  <si>
    <t>Completes "Start, at the beginning" for screen readers.</t>
  </si>
  <si>
    <t>trim.handleEnd</t>
  </si>
  <si>
    <t>the end</t>
  </si>
  <si>
    <t>Completes "End, at the end" for screen readers.</t>
  </si>
  <si>
    <t>trim.problem.notATime.start</t>
  </si>
  <si>
    <t>Step 2: the error beside a start or end time that cannot be used</t>
  </si>
  <si>
    <t>Write the start time as minutes and seconds, like 1:05.5, or as seconds, like 65.5.</t>
  </si>
  <si>
    <t>Keep the example times 1:05.5 and 65.5 as they are. About the start time.</t>
  </si>
  <si>
    <t>trim.problem.notATime.end</t>
  </si>
  <si>
    <t>Write the end time as minutes and seconds, like 1:05.5, or as seconds, like 65.5.</t>
  </si>
  <si>
    <t>Keep the example times 1:05.5 and 65.5 as they are. About the end time.</t>
  </si>
  <si>
    <t>trim.problem.afterEnd.start</t>
  </si>
  <si>
    <t>The start time is after the end of the video, which is {length} long.</t>
  </si>
  <si>
    <t>About the start time. Keep {length} as written: {length} is a time, like 2:10.4.</t>
  </si>
  <si>
    <t>trim.problem.afterEnd.end</t>
  </si>
  <si>
    <t>The end time is after the end of the video, which is {length} long.</t>
  </si>
  <si>
    <t>About the end time. Keep {length} as written: {length} is a time, like 2:10.4.</t>
  </si>
  <si>
    <t>trim.problem.notTimes</t>
  </si>
  <si>
    <t>The start or end of the video is not a time.</t>
  </si>
  <si>
    <t>trim.problem.startAfterEnd</t>
  </si>
  <si>
    <t>The start is after the end of the video.</t>
  </si>
  <si>
    <t>trim.problem.endBeforeStart</t>
  </si>
  <si>
    <t>The end must come after the start.</t>
  </si>
  <si>
    <t>trim.problem.keepAtLeast</t>
  </si>
  <si>
    <t>Keep at least {seconds} seconds of the video.</t>
  </si>
  <si>
    <t>trim.correctToContinue</t>
  </si>
  <si>
    <t>Put the start and end times right in step 2 to continue.</t>
  </si>
  <si>
    <t>closing.legend</t>
  </si>
  <si>
    <t>Step 3, Closing branding</t>
  </si>
  <si>
    <t>closing.typeLabel</t>
  </si>
  <si>
    <t>Animation type</t>
  </si>
  <si>
    <t>closing.types.cut</t>
  </si>
  <si>
    <t>Cut</t>
  </si>
  <si>
    <t>closing.types.fade</t>
  </si>
  <si>
    <t>Fade</t>
  </si>
  <si>
    <t>closing.types.slide</t>
  </si>
  <si>
    <t>Slide</t>
  </si>
  <si>
    <t>closing.types.none</t>
  </si>
  <si>
    <t>None</t>
  </si>
  <si>
    <t>closing.onsetLabel</t>
  </si>
  <si>
    <t>Animation onset</t>
  </si>
  <si>
    <t>closing.onsets.existing</t>
  </si>
  <si>
    <t>Over existing</t>
  </si>
  <si>
    <t>closing.onsets.freeze</t>
  </si>
  <si>
    <t>Over generated freeze frame</t>
  </si>
  <si>
    <t>closing.helpLabel</t>
  </si>
  <si>
    <t>About animation onset</t>
  </si>
  <si>
    <t>closing.helpExistingTerm</t>
  </si>
  <si>
    <t>closing.helpExistingText</t>
  </si>
  <si>
    <t>— the closing plays over the last second of your video. It covers that second as it builds.</t>
  </si>
  <si>
    <t>Follows "Over existing" on the same line, so it starts with a dash.</t>
  </si>
  <si>
    <t>closing.helpFreezeTerm</t>
  </si>
  <si>
    <t>closing.helpFreezeText</t>
  </si>
  <si>
    <t>— your last frame is held for one extra second. The closing plays over that, so nothing in your video is covered.</t>
  </si>
  <si>
    <t>Follows "Over generated freeze frame" on the same line, so it starts with a dash.</t>
  </si>
  <si>
    <t>closing.colourLabel</t>
  </si>
  <si>
    <t>Colour</t>
  </si>
  <si>
    <t>closing.colours.blue</t>
  </si>
  <si>
    <t>Blue</t>
  </si>
  <si>
    <t>Used when the closing colour is blue.</t>
  </si>
  <si>
    <t>closing.colours.white</t>
  </si>
  <si>
    <t>White</t>
  </si>
  <si>
    <t>Used when the closing colour is white.</t>
  </si>
  <si>
    <t>closing.notUsedWith.cut</t>
  </si>
  <si>
    <t>Not used with Cut.</t>
  </si>
  <si>
    <t>Names the animation type "Cut"; use the same word as closing.types.cut.</t>
  </si>
  <si>
    <t>closing.notUsedWith.none</t>
  </si>
  <si>
    <t>Not used with None.</t>
  </si>
  <si>
    <t>Names the animation type "None"; use the same word as closing.types.none.</t>
  </si>
  <si>
    <t>closing.result.none</t>
  </si>
  <si>
    <t>Step 3: the line under the controls saying what the closing will do</t>
  </si>
  <si>
    <t>No University closing will be added.</t>
  </si>
  <si>
    <t>closing.result.adds.one</t>
  </si>
  <si>
    <t>Adds {count} second.</t>
  </si>
  <si>
    <t>closing.result.adds.other</t>
  </si>
  <si>
    <t>Adds {count} seconds.</t>
  </si>
  <si>
    <t>closing.result.cut.blue</t>
  </si>
  <si>
    <t>Your video cuts to the blue closing card. {adds}</t>
  </si>
  <si>
    <t>Used when the closing colour is blue. Keep {adds} as written: {adds} is the sentence from closing.result.adds.</t>
  </si>
  <si>
    <t>closing.result.cut.white</t>
  </si>
  <si>
    <t>Your video cuts to the white closing card. {adds}</t>
  </si>
  <si>
    <t>Used when the closing colour is white. Keep {adds} as written: {adds} is the sentence from closing.result.adds.</t>
  </si>
  <si>
    <t>closing.result.overFreeze.blue.fade</t>
  </si>
  <si>
    <t>Your last frame is held while the blue closing fades in, so nothing is covered. {adds}</t>
  </si>
  <si>
    <t>Used when the closing colour is blue. Used when the closing fades in. Keep {adds} as written: {adds} is the sentence from closing.result.adds.</t>
  </si>
  <si>
    <t>closing.result.overFreeze.blue.slide</t>
  </si>
  <si>
    <t>Your last frame is held while the blue closing slides in, so nothing is covered. {adds}</t>
  </si>
  <si>
    <t>Used when the closing colour is blue. Used when the closing slides in. Keep {adds} as written: {adds} is the sentence from closing.result.adds.</t>
  </si>
  <si>
    <t>closing.result.overFreeze.white.fade</t>
  </si>
  <si>
    <t>Your last frame is held while the white closing fades in, so nothing is covered. {adds}</t>
  </si>
  <si>
    <t>Used when the closing colour is white. Used when the closing fades in. Keep {adds} as written: {adds} is the sentence from closing.result.adds.</t>
  </si>
  <si>
    <t>closing.result.overFreeze.white.slide</t>
  </si>
  <si>
    <t>Your last frame is held while the white closing slides in, so nothing is covered. {adds}</t>
  </si>
  <si>
    <t>Used when the closing colour is white. Used when the closing slides in. Keep {adds} as written: {adds} is the sentence from closing.result.adds.</t>
  </si>
  <si>
    <t>closing.result.overPicture.blue.fade</t>
  </si>
  <si>
    <t>The blue closing fades in over your last second of video, covering it as it builds. {adds}</t>
  </si>
  <si>
    <t>closing.result.overPicture.blue.slide</t>
  </si>
  <si>
    <t>The blue closing slides in over your last second of video, covering it as it builds. {adds}</t>
  </si>
  <si>
    <t>closing.result.overPicture.white.fade</t>
  </si>
  <si>
    <t>The white closing fades in over your last second of video, covering it as it builds. {adds}</t>
  </si>
  <si>
    <t>closing.result.overPicture.white.slide</t>
  </si>
  <si>
    <t>The white closing slides in over your last second of video, covering it as it builds. {adds}</t>
  </si>
  <si>
    <t>preset.legend</t>
  </si>
  <si>
    <t>Step 4, File size / quality</t>
  </si>
  <si>
    <t>preset.labels.best</t>
  </si>
  <si>
    <t>Larger / better</t>
  </si>
  <si>
    <t>The name of the larger output. Other rows quote it.</t>
  </si>
  <si>
    <t>preset.labels.smaller</t>
  </si>
  <si>
    <t>Smaller / reduced</t>
  </si>
  <si>
    <t>The name of the smaller output. Other rows quote it.</t>
  </si>
  <si>
    <t>preset.details.best</t>
  </si>
  <si>
    <t>For EchoVideo or YouTube etc.</t>
  </si>
  <si>
    <t>preset.details.smaller</t>
  </si>
  <si>
    <t>For messaging or email etc.</t>
  </si>
  <si>
    <t>create.note</t>
  </si>
  <si>
    <t>Step 5, Create: buttons and labels</t>
  </si>
  <si>
    <t>The finished video is kept here until you save it or close this tab.</t>
  </si>
  <si>
    <t>create.announceProgress</t>
  </si>
  <si>
    <t>Announce progress</t>
  </si>
  <si>
    <t>create.announceHelp</t>
  </si>
  <si>
    <t>Says each stage out loud for a screen reader as the video is made. The result is always announced.</t>
  </si>
  <si>
    <t>create.progressLabel</t>
  </si>
  <si>
    <t>Creating your video</t>
  </si>
  <si>
    <t>create.create</t>
  </si>
  <si>
    <t>Create the video</t>
  </si>
  <si>
    <t>create.cancel</t>
  </si>
  <si>
    <t>Cancel</t>
  </si>
  <si>
    <t>create.continueAnyway</t>
  </si>
  <si>
    <t>Continue anyway</t>
  </si>
  <si>
    <t>create.stopCheck</t>
  </si>
  <si>
    <t>Stop the check</t>
  </si>
  <si>
    <t>create.checkAgain</t>
  </si>
  <si>
    <t>Check again</t>
  </si>
  <si>
    <t>create.stopSaving</t>
  </si>
  <si>
    <t>Stop saving</t>
  </si>
  <si>
    <t>create.save</t>
  </si>
  <si>
    <t>Save the video</t>
  </si>
  <si>
    <t>create.saved</t>
  </si>
  <si>
    <t>Saved</t>
  </si>
  <si>
    <t>create.discard</t>
  </si>
  <si>
    <t>Discard it and start again</t>
  </si>
  <si>
    <t>create.keep</t>
  </si>
  <si>
    <t>Keep it</t>
  </si>
  <si>
    <t>create.lockedMaking</t>
  </si>
  <si>
    <t>Locked while your video is being made.</t>
  </si>
  <si>
    <t>create.lockedSaving</t>
  </si>
  <si>
    <t>Locked while your video is being saved.</t>
  </si>
  <si>
    <t>status.checking</t>
  </si>
  <si>
    <t>Step 5: the status line under the buttons, also read out by screen readers</t>
  </si>
  <si>
    <t>Checking this video against your device…</t>
  </si>
  <si>
    <t>status.checkStopped</t>
  </si>
  <si>
    <t>Check stopped.</t>
  </si>
  <si>
    <t>status.stoppingSave</t>
  </si>
  <si>
    <t>Stopping the save…</t>
  </si>
  <si>
    <t>status.cancelling</t>
  </si>
  <si>
    <t>Cancelling…</t>
  </si>
  <si>
    <t>status.cancelled</t>
  </si>
  <si>
    <t>Cancelled. Nothing was saved, and your original file is unchanged.</t>
  </si>
  <si>
    <t>status.saving</t>
  </si>
  <si>
    <t>Saving…</t>
  </si>
  <si>
    <t>status.saveStopped</t>
  </si>
  <si>
    <t>Save stopped. The video is still here when you want it.</t>
  </si>
  <si>
    <t>status.notSaved</t>
  </si>
  <si>
    <t>Not saved. The video is still here when you want it.</t>
  </si>
  <si>
    <t>status.refusedSource</t>
  </si>
  <si>
    <t>That is the file you started with. Choose a different name or folder — this tool never changes your original.</t>
  </si>
  <si>
    <t>status.saved</t>
  </si>
  <si>
    <t>Saved. Check it where you saved it, then upload it where it is going — or choose another video in step 1.</t>
  </si>
  <si>
    <t>status.saveFailed</t>
  </si>
  <si>
    <t>The video could not be saved. It is still here to try again.</t>
  </si>
  <si>
    <t>status.storageWayOut</t>
  </si>
  <si>
    <t>Keep less of the video, choose {smaller}, or free some space, then press Check again.</t>
  </si>
  <si>
    <t>Keep {smaller} as written: {smaller} is the name of the smaller output, from preset.labels.smaller.</t>
  </si>
  <si>
    <t>status.creating</t>
  </si>
  <si>
    <t>Creating your video. {notice}</t>
  </si>
  <si>
    <t>Keep {notice} as written: {notice} is another sentence from this sheet (progress.jobNotice).</t>
  </si>
  <si>
    <t>status.ready</t>
  </si>
  <si>
    <t>Your video is ready.</t>
  </si>
  <si>
    <t>status.couldNotCreate</t>
  </si>
  <si>
    <t>The video could not be created. {sentence}</t>
  </si>
  <si>
    <t>Keep {sentence} as written: {sentence} is an error message from this sheet.</t>
  </si>
  <si>
    <t>status.verdictSpoken</t>
  </si>
  <si>
    <t>Not shown: read out by screen readers when the device check finishes</t>
  </si>
  <si>
    <t>Device check complete. {heading}.</t>
  </si>
  <si>
    <t>Keep {heading} as written: {heading} is a heading from this sheet.</t>
  </si>
  <si>
    <t>discard.title</t>
  </si>
  <si>
    <t>Step 5: the question asked before an unsaved video is discarded</t>
  </si>
  <si>
    <t>This video is not saved yet</t>
  </si>
  <si>
    <t>discard.delivered</t>
  </si>
  <si>
    <t>Your download may still be finishing. Starting again will discard the video you just made.</t>
  </si>
  <si>
    <t>discard.unsaved</t>
  </si>
  <si>
    <t>You have not saved the video you just made. Starting again will discard it.</t>
  </si>
  <si>
    <t>discard.spoken</t>
  </si>
  <si>
    <t>Not shown: read out by screen readers with the question</t>
  </si>
  <si>
    <t>This video is not saved yet. {question}</t>
  </si>
  <si>
    <t>Keep {question} as written: {question} is the question from discard.delivered or discard.unsaved.</t>
  </si>
  <si>
    <t>result.finished</t>
  </si>
  <si>
    <t>Step 5: the finished video and its one-line summary</t>
  </si>
  <si>
    <t>Finished video — {size}</t>
  </si>
  <si>
    <t>Keep {size} as written: {size} is a file size, like "120 MB".</t>
  </si>
  <si>
    <t>result.previous</t>
  </si>
  <si>
    <t>Previous video — {size}</t>
  </si>
  <si>
    <t>result.lifetime</t>
  </si>
  <si>
    <t>It is kept here only until you save it or close this tab.</t>
  </si>
  <si>
    <t>result.lifetimeDelivered</t>
  </si>
  <si>
    <t>It stays here until you start another video or close this tab.</t>
  </si>
  <si>
    <t>result.keptWhole</t>
  </si>
  <si>
    <t>the whole video ({duration})</t>
  </si>
  <si>
    <t>result.keptPart</t>
  </si>
  <si>
    <t>{kept} of {duration}, from {from} to {to}</t>
  </si>
  <si>
    <t>Keep {kept}, {duration}, {from}, {to} as written: {kept} is a length of time in words; {duration} is a length of time in words, like "4 minutes 12 seconds"; {from} is a time, like 0:30.0; {to} is a time, like 2:30.0.</t>
  </si>
  <si>
    <t>result.closingNone</t>
  </si>
  <si>
    <t>no University closing</t>
  </si>
  <si>
    <t>result.closingCut.blue</t>
  </si>
  <si>
    <t>a cut to the blue closing card</t>
  </si>
  <si>
    <t>result.closingCut.white</t>
  </si>
  <si>
    <t>a cut to the white closing card</t>
  </si>
  <si>
    <t>result.closingOverFreeze.blue.fade</t>
  </si>
  <si>
    <t>the blue closing fading in over a held last frame</t>
  </si>
  <si>
    <t>Used when the closing colour is blue. Used when the closing fades in.</t>
  </si>
  <si>
    <t>result.closingOverFreeze.blue.slide</t>
  </si>
  <si>
    <t>the blue closing sliding in over a held last frame</t>
  </si>
  <si>
    <t>Used when the closing colour is blue. Used when the closing slides in.</t>
  </si>
  <si>
    <t>result.closingOverFreeze.white.fade</t>
  </si>
  <si>
    <t>the white closing fading in over a held last frame</t>
  </si>
  <si>
    <t>Used when the closing colour is white. Used when the closing fades in.</t>
  </si>
  <si>
    <t>result.closingOverFreeze.white.slide</t>
  </si>
  <si>
    <t>the white closing sliding in over a held last frame</t>
  </si>
  <si>
    <t>Used when the closing colour is white. Used when the closing slides in.</t>
  </si>
  <si>
    <t>result.closingOverPicture.blue.fade</t>
  </si>
  <si>
    <t>the blue closing fading in over the picture</t>
  </si>
  <si>
    <t>result.closingOverPicture.blue.slide</t>
  </si>
  <si>
    <t>the blue closing sliding in over the picture</t>
  </si>
  <si>
    <t>result.closingOverPicture.white.fade</t>
  </si>
  <si>
    <t>the white closing fading in over the picture</t>
  </si>
  <si>
    <t>result.closingOverPicture.white.slide</t>
  </si>
  <si>
    <t>the white closing sliding in over the picture</t>
  </si>
  <si>
    <t>result.summary</t>
  </si>
  <si>
    <t>Made from {name}: {part}, {output}, {closing}.</t>
  </si>
  <si>
    <t>Keep {name}, {part}, {output}, {closing} as written: {name} is a name: a language's own name, or the user's file name; {part} is what part of the video was kept, from result.keptWhole or result.keptPart; {output} is the output chosen, from preset.labels; {closing} is how the video closes, from result.closing….</t>
  </si>
  <si>
    <t>result.notLoaded</t>
  </si>
  <si>
    <t>The closing could not be loaded, so it is not in this video. Everything else was applied as asked.</t>
  </si>
  <si>
    <t>result.fellBackToCut.blue.fade</t>
  </si>
  <si>
    <t>You chose Fade, but the animation could not be loaded, so this video cuts to the blue closing card instead.</t>
  </si>
  <si>
    <t>result.fellBackToCut.blue.slide</t>
  </si>
  <si>
    <t>You chose Slide, but the animation could not be loaded, so this video cuts to the blue closing card instead.</t>
  </si>
  <si>
    <t>result.fellBackToCut.white.fade</t>
  </si>
  <si>
    <t>You chose Fade, but the animation could not be loaded, so this video cuts to the white closing card instead.</t>
  </si>
  <si>
    <t>result.fellBackToCut.white.slide</t>
  </si>
  <si>
    <t>You chose Slide, but the animation could not be loaded, so this video cuts to the white closing card instead.</t>
  </si>
  <si>
    <t>result.fellBackToFreeze.blue.fade</t>
  </si>
  <si>
    <t>Your video is shorter than the fade animation. The blue closing fades in over a held last frame instead of over the picture.</t>
  </si>
  <si>
    <t>result.fellBackToFreeze.blue.slide</t>
  </si>
  <si>
    <t>Your video is shorter than the slide animation. The blue closing slides in over a held last frame instead of over the picture.</t>
  </si>
  <si>
    <t>result.fellBackToFreeze.white.fade</t>
  </si>
  <si>
    <t>Your video is shorter than the fade animation. The white closing fades in over a held last frame instead of over the picture.</t>
  </si>
  <si>
    <t>result.fellBackToFreeze.white.slide</t>
  </si>
  <si>
    <t>Your video is shorter than the slide animation. The white closing slides in over a held last frame instead of over the picture.</t>
  </si>
  <si>
    <t>result.fellBackToPicture.blue.fade</t>
  </si>
  <si>
    <t>The blue closing fades in over the picture, not over a held last frame as chosen.</t>
  </si>
  <si>
    <t>result.fellBackToPicture.blue.slide</t>
  </si>
  <si>
    <t>The blue closing slides in over the picture, not over a held last frame as chosen.</t>
  </si>
  <si>
    <t>result.fellBackToPicture.white.fade</t>
  </si>
  <si>
    <t>The white closing fades in over the picture, not over a held last frame as chosen.</t>
  </si>
  <si>
    <t>result.fellBackToPicture.white.slide</t>
  </si>
  <si>
    <t>The white closing slides in over the picture, not over a held last frame as chosen.</t>
  </si>
  <si>
    <t>progress.stages.preparing</t>
  </si>
  <si>
    <t>Step 5: the progress bar while the video is made</t>
  </si>
  <si>
    <t>Getting ready</t>
  </si>
  <si>
    <t>progress.stages.analysing</t>
  </si>
  <si>
    <t>Analysing audio</t>
  </si>
  <si>
    <t>progress.stages.encoding</t>
  </si>
  <si>
    <t>Encoding video</t>
  </si>
  <si>
    <t>progress.stages.finishing</t>
  </si>
  <si>
    <t>Finishing the file</t>
  </si>
  <si>
    <t>progress.stages.checking</t>
  </si>
  <si>
    <t>Checking the file</t>
  </si>
  <si>
    <t>progress.milestones.0</t>
  </si>
  <si>
    <t>a quarter done</t>
  </si>
  <si>
    <t>Follows a stage name, like "Encoding video — a quarter done".</t>
  </si>
  <si>
    <t>progress.milestones.1</t>
  </si>
  <si>
    <t>half done</t>
  </si>
  <si>
    <t>Follows a stage name, like "Encoding video — half done".</t>
  </si>
  <si>
    <t>progress.milestones.2</t>
  </si>
  <si>
    <t>three quarters done</t>
  </si>
  <si>
    <t>Follows a stage name, like "Encoding video — three quarters done".</t>
  </si>
  <si>
    <t>progress.stagePercent</t>
  </si>
  <si>
    <t>{stage} — {percent}</t>
  </si>
  <si>
    <t>Keep {stage}, {percent} as written: {stage} is a stage name from progress.stages; {percent} is a percentage, like 14%.</t>
  </si>
  <si>
    <t>progress.stageMilestone</t>
  </si>
  <si>
    <t>{stage} — {milestone}</t>
  </si>
  <si>
    <t>Keep {stage}, {milestone} as written: {stage} is a stage name from progress.stages; {milestone} is a phrase from progress.milestones.</t>
  </si>
  <si>
    <t>progress.ready</t>
  </si>
  <si>
    <t>Ready</t>
  </si>
  <si>
    <t>progress.title.stage</t>
  </si>
  <si>
    <t>The title in the browser tab while the video is made</t>
  </si>
  <si>
    <t>{stage} — {app}</t>
  </si>
  <si>
    <t>Keep {stage}, {app} as written: {stage} is a stage name from progress.stages; {app} is the product name, from app.title.</t>
  </si>
  <si>
    <t>progress.title.ready</t>
  </si>
  <si>
    <t>Ready — {app}</t>
  </si>
  <si>
    <t>Keep {app} as written: {app} is the product name, from app.title.</t>
  </si>
  <si>
    <t>progress.title.failed</t>
  </si>
  <si>
    <t>Not made — {app}</t>
  </si>
  <si>
    <t>progress.title.cancelled</t>
  </si>
  <si>
    <t>Cancelled — {app}</t>
  </si>
  <si>
    <t>progress.jobNotice</t>
  </si>
  <si>
    <t>Step 5: said when the video starts being made</t>
  </si>
  <si>
    <t>Keep this tab visible and your computer awake while the video is made. Closing the tab ends the job.</t>
  </si>
  <si>
    <t>preflight.headings.proceed</t>
  </si>
  <si>
    <t>Step 5: the heading of the device check</t>
  </si>
  <si>
    <t>Ready to go</t>
  </si>
  <si>
    <t>preflight.headings.warn</t>
  </si>
  <si>
    <t>Ready, with one thing to know</t>
  </si>
  <si>
    <t>preflight.headings.warnSeveral.2</t>
  </si>
  <si>
    <t>Ready, with two things to know</t>
  </si>
  <si>
    <t>Used when the count is 2, said in words.</t>
  </si>
  <si>
    <t>preflight.headings.warnSeveral.3</t>
  </si>
  <si>
    <t>Ready, with three things to know</t>
  </si>
  <si>
    <t>Used when the count is 3, said in words.</t>
  </si>
  <si>
    <t>preflight.headings.warnSeveral.4</t>
  </si>
  <si>
    <t>Ready, with four things to know</t>
  </si>
  <si>
    <t>Used when the count is 4, said in words.</t>
  </si>
  <si>
    <t>preflight.headings.warnSeveral.5</t>
  </si>
  <si>
    <t>Ready, with five things to know</t>
  </si>
  <si>
    <t>Used when the count is 5, said in words.</t>
  </si>
  <si>
    <t>preflight.headings.warnSeveral.6</t>
  </si>
  <si>
    <t>Ready, with six things to know</t>
  </si>
  <si>
    <t>Used when the count is 6, said in words.</t>
  </si>
  <si>
    <t>preflight.headings.warnSeveral.other</t>
  </si>
  <si>
    <t>Ready, with {count} things to know</t>
  </si>
  <si>
    <t>Used for any count above 6, in digits. Keep {count} as written: {count} is a number.</t>
  </si>
  <si>
    <t>preflight.headings.discourage</t>
  </si>
  <si>
    <t>This will work, but it will be slow</t>
  </si>
  <si>
    <t>preflight.headings.mobile</t>
  </si>
  <si>
    <t>This may not finish on a phone or tablet</t>
  </si>
  <si>
    <t>preflight.headings.block</t>
  </si>
  <si>
    <t>This cannot run here</t>
  </si>
  <si>
    <t>preflight.tryChrome</t>
  </si>
  <si>
    <t>Step 5: the device check, which says whether this computer can make the video</t>
  </si>
  <si>
    <t>Chrome on a computer is the browser this tool is built for — try it there.</t>
  </si>
  <si>
    <t>preflight.chromeLacks</t>
  </si>
  <si>
    <t>This copy of Chrome may be out of date, or a setting on this computer may have turned the feature off. Update Chrome, or ask whoever manages the computer.</t>
  </si>
  <si>
    <t>preflight.reasons.noWebCodecs</t>
  </si>
  <si>
    <t>Step 5: one reason in the device check</t>
  </si>
  <si>
    <t>This browser cannot process video. {remedy}</t>
  </si>
  <si>
    <t>Keep {remedy} as written: {remedy} is another sentence from this sheet, saying what to do.</t>
  </si>
  <si>
    <t>preflight.reasons.noAacEncodeHere</t>
  </si>
  <si>
    <t>This browser cannot add sound to a video file. {remedy}</t>
  </si>
  <si>
    <t>preflight.reasons.noAacEncodeElsewhere</t>
  </si>
  <si>
    <t>This browser cannot add sound to a video file. {remedy} Firefox can play video but cannot create the sound this needs.</t>
  </si>
  <si>
    <t>preflight.reasons.noH264Encode</t>
  </si>
  <si>
    <t>This browser cannot create the video format this tool needs. {remedy}</t>
  </si>
  <si>
    <t>preflight.reasons.noSourceDecodeHere</t>
  </si>
  <si>
    <t>This browser cannot read the picture or sound inside this file. It was probably saved in a format made for editing software. Export it again as an MP4 — a file whose name ends .mp4 — and choose that file instead.</t>
  </si>
  <si>
    <t>preflight.reasons.noSourceDecodeElsewhere</t>
  </si>
  <si>
    <t>This browser cannot read the picture or sound inside this file. {remedy} If it will not open there either, the file was probably saved in a format made for editing software. Export it again as an MP4 — a file whose name ends .mp4.</t>
  </si>
  <si>
    <t>preflight.reasons.noOpfsHere</t>
  </si>
  <si>
    <t>This browser will not give the tool the working space it needs to build your video. If you are browsing privately, an ordinary window usually works; otherwise a setting on this computer may be blocking site storage — ask whoever manages it.</t>
  </si>
  <si>
    <t>preflight.reasons.noOpfsElsewhere</t>
  </si>
  <si>
    <t>This browser will not give the tool the working space it needs to build your video. {remedy} If you are browsing privately, an ordinary window usually works.</t>
  </si>
  <si>
    <t>preflight.reasons.insecureContext</t>
  </si>
  <si>
    <t>This page needs a secure connection before it can work with your video. Open it at an https:// address, or at localhost if you are running it yourself.</t>
  </si>
  <si>
    <t>preflight.reasons.insufficientStorageResolvable</t>
  </si>
  <si>
    <t>There is not enough free space on this device. This job needs about {size} of working space. Free some space and try again, keep less of the video, or choose {smaller}.</t>
  </si>
  <si>
    <t>Keep {size}, {smaller} as written: {size} is a file size, like "120 MB"; {smaller} is the name of the smaller output, from preset.labels.smaller.</t>
  </si>
  <si>
    <t>preflight.reasons.insufficientStorage</t>
  </si>
  <si>
    <t>There is not enough free space on this device. This job needs about {size} of working space. Free some space and try again.</t>
  </si>
  <si>
    <t>preflight.reasons.storageUnknown</t>
  </si>
  <si>
    <t>This browser will not say how much free space there is. If it runs out part-way, the job stops and nothing is saved — your original file is not affected.</t>
  </si>
  <si>
    <t>preflight.reasons.veryLongJob</t>
  </si>
  <si>
    <t>This will take about {time}. You can carry on, but a desktop computer would be considerably faster.</t>
  </si>
  <si>
    <t>Keep {time} as written: {time} is a length of time in words.</t>
  </si>
  <si>
    <t>preflight.reasons.veryLongJobUnknown</t>
  </si>
  <si>
    <t>This will take about a long time. You can carry on, but a desktop computer would be considerably faster.</t>
  </si>
  <si>
    <t>preflight.reasons.longJob</t>
  </si>
  <si>
    <t>This will take about {time}. Keep this tab open while it runs — closing it stops the job.</t>
  </si>
  <si>
    <t>preflight.reasons.longJobUnknown</t>
  </si>
  <si>
    <t>This will take about a while. Keep this tab open while it runs — closing it stops the job.</t>
  </si>
  <si>
    <t>preflight.reasons.mobileDevice</t>
  </si>
  <si>
    <t>Phones and tablets are much slower at this than a computer, and the browser there may end the job part-way to free memory. Use a computer if you can.</t>
  </si>
  <si>
    <t>preflight.reasons.estimateUnavailable</t>
  </si>
  <si>
    <t>We could not work out how long this will take on this device. You can still continue.</t>
  </si>
  <si>
    <t>preflight.shouldTake</t>
  </si>
  <si>
    <t>This should take about {time}.</t>
  </si>
  <si>
    <t>preflight.shouldTakeFewSeconds</t>
  </si>
  <si>
    <t>This should take a few seconds.</t>
  </si>
  <si>
    <t>preflight.sizeUpTo</t>
  </si>
  <si>
    <t>Estimated size up to {size}.</t>
  </si>
  <si>
    <t>preflight.sameSize</t>
  </si>
  <si>
    <t>Your video is already compressed as far as this setting would take it, so the new file will be about the same size.</t>
  </si>
  <si>
    <t>preflight.slides</t>
  </si>
  <si>
    <t>This looks like slides or a screen recording, so the file is made smaller still. If it is mostly camera footage, choose {best} instead.</t>
  </si>
  <si>
    <t>Keep {best} as written: {best} is the name of the larger output, from preset.labels.best.</t>
  </si>
  <si>
    <t>warnings.soundHeading</t>
  </si>
  <si>
    <t>Step 5: warnings about the sound or the finished video</t>
  </si>
  <si>
    <t>Worth knowing about the sound</t>
  </si>
  <si>
    <t>warnings.finishedHeading</t>
  </si>
  <si>
    <t>Worth knowing about the finished video</t>
  </si>
  <si>
    <t>warnings.reassurance</t>
  </si>
  <si>
    <t>None of these stop you continuing. Your original file is not changed either way.</t>
  </si>
  <si>
    <t>warnings.spoken</t>
  </si>
  <si>
    <t>Not shown: read out by screen readers</t>
  </si>
  <si>
    <t>{heading}: {titles}.</t>
  </si>
  <si>
    <t>Keep {heading}, {titles} as written: {heading} is a heading from this sheet; {titles} is warning headings from this sheet, one after another.</t>
  </si>
  <si>
    <t>warnings.noAudio.heading</t>
  </si>
  <si>
    <t>This video has no sound</t>
  </si>
  <si>
    <t>warnings.noAudio.detail</t>
  </si>
  <si>
    <t>There is no sound to level, so the rest of the job runs without it. If you expected sound, check the recording before publishing.</t>
  </si>
  <si>
    <t>warnings.clipping.heading</t>
  </si>
  <si>
    <t>The sound may be distorted in places</t>
  </si>
  <si>
    <t>warnings.clipping.detail</t>
  </si>
  <si>
    <t>The recording often reaches its maximum level, so some of it may be clipped. That usually means the microphone was set too high. Levelling still runs, but distortion already in the recording cannot be removed.</t>
  </si>
  <si>
    <t>warnings.veryQuiet.heading</t>
  </si>
  <si>
    <t>This recording is very quiet</t>
  </si>
  <si>
    <t>warnings.veryQuiet.detail</t>
  </si>
  <si>
    <t>It is well below a comfortable listening level. Levelling will bring it up — but turning up quiet speech turns up whatever else was in the room too.</t>
  </si>
  <si>
    <t>warnings.highlyVariable.heading</t>
  </si>
  <si>
    <t>The volume varies a lot</t>
  </si>
  <si>
    <t>warnings.highlyVariable.detail</t>
  </si>
  <si>
    <t>The loudest and quietest parts are far apart. Levelling corrects slow drifts gradually, too slowly to hear, but sudden differences between sentences will remain.</t>
  </si>
  <si>
    <t>warnings.noisy.heading</t>
  </si>
  <si>
    <t>There may be background noise</t>
  </si>
  <si>
    <t>warnings.noisy.detail</t>
  </si>
  <si>
    <t>Even the quietest moments carry some sound — a fan, air conditioning, or a noisy room. This tool does not remove noise, and making the speech louder will make the background louder with it.</t>
  </si>
  <si>
    <t>warnings.extendedSilence.heading</t>
  </si>
  <si>
    <t>There is a long silent stretch</t>
  </si>
  <si>
    <t>warnings.extendedSilence.detail</t>
  </si>
  <si>
    <t>About {duration} of near-silence in one continuous run. If that is deliberate, nothing is wrong. If not, it is worth checking the recording before you publish it.</t>
  </si>
  <si>
    <t>warnings.targetMissed.heading</t>
  </si>
  <si>
    <t>The finished sound is not quite at the usual level</t>
  </si>
  <si>
    <t>warnings.targetMissed.detail</t>
  </si>
  <si>
    <t>The video is fine to use; it may just sound slightly quieter or louder than other videos levelled with this tool.</t>
  </si>
  <si>
    <t>warnings.metadataLost.heading</t>
  </si>
  <si>
    <t>The file’s title and date could not be copied across</t>
  </si>
  <si>
    <t>warnings.metadataLost.detail</t>
  </si>
  <si>
    <t>The picture and sound are unaffected. If your original carried a title, author or date, the new file will not have them — you can still add them wherever you upload it.</t>
  </si>
  <si>
    <t>announce.lossesCount.1</t>
  </si>
  <si>
    <t>One thing to know about what goes into the new file.</t>
  </si>
  <si>
    <t>Used when the count is 1, said in words.</t>
  </si>
  <si>
    <t>announce.lossesCount.2</t>
  </si>
  <si>
    <t>Two things to know about what goes into the new file.</t>
  </si>
  <si>
    <t>announce.lossesCount.3</t>
  </si>
  <si>
    <t>Three things to know about what goes into the new file.</t>
  </si>
  <si>
    <t>announce.lossesCount.4</t>
  </si>
  <si>
    <t>Four things to know about what goes into the new file.</t>
  </si>
  <si>
    <t>announce.lossesCount.other</t>
  </si>
  <si>
    <t>{count} things to know about what goes into the new file.</t>
  </si>
  <si>
    <t>Used for any count above 4, in digits. Keep {count} as written: {count} is a number.</t>
  </si>
  <si>
    <t>announce.lossSaid</t>
  </si>
  <si>
    <t>{title}. {detail}</t>
  </si>
  <si>
    <t>Keep {title}, {detail} as written: {title} is a heading from this sheet; {detail} is a sentence from this sheet.</t>
  </si>
  <si>
    <t>failure.originalUnchanged</t>
  </si>
  <si>
    <t>An error box, in the step it affects</t>
  </si>
  <si>
    <t>Your original file has not been changed.</t>
  </si>
  <si>
    <t>failure.unreadable.what</t>
  </si>
  <si>
    <t>This file could not be read as a video.</t>
  </si>
  <si>
    <t>failure.unreadable.notAVideo</t>
  </si>
  <si>
    <t>This file could not be read as a video. It needs to be a video file — one whose name ends .mp4, .mov, .mkv or .webm — and it may be damaged.</t>
  </si>
  <si>
    <t>failure.unreadable.soundOnly</t>
  </si>
  <si>
    <t>This file has sound but no video. This tool adds branding to a video, so it needs a file with a picture.</t>
  </si>
  <si>
    <t>failure.unreadable.noTracks</t>
  </si>
  <si>
    <t>No video or sound was found in this file. It may be incomplete, or it may have been saved incorrectly.</t>
  </si>
  <si>
    <t>failure.unreadable.readError</t>
  </si>
  <si>
    <t>Something went wrong reading this file. It may be damaged, or in a format this tool cannot read.</t>
  </si>
  <si>
    <t>failure.unreadable.tookTooLong</t>
  </si>
  <si>
    <t>Reading this file took longer than expected, or the tool ran into a problem.</t>
  </si>
  <si>
    <t>failure.unreadable.next</t>
  </si>
  <si>
    <t>Choose a different file, or save this one again from the app that made it, as a file whose name ends .mp4.</t>
  </si>
  <si>
    <t>failure.badTrim.what</t>
  </si>
  <si>
    <t>The start and end times could not be used.</t>
  </si>
  <si>
    <t>failure.badTrim.next</t>
  </si>
  <si>
    <t>Put the start and end times right in step 2 and try again.</t>
  </si>
  <si>
    <t>failure.unlevellable.what</t>
  </si>
  <si>
    <t>The sound of this recording cannot be brought to the usual level, so the video was not made.</t>
  </si>
  <si>
    <t>failure.unlevellable.next</t>
  </si>
  <si>
    <t>Report it with the Send feedback button — the details it adds will help.</t>
  </si>
  <si>
    <t>failure.outputLoudness.what</t>
  </si>
  <si>
    <t>The finished sound did not come out at the usual level, so the video was not kept.</t>
  </si>
  <si>
    <t>failure.outputPeak.what</t>
  </si>
  <si>
    <t>The finished sound came out louder at its peaks than allowed, so the video was not kept.</t>
  </si>
  <si>
    <t>failure.outputUnreadable.what</t>
  </si>
  <si>
    <t>The finished video could not be read back, so it was not kept.</t>
  </si>
  <si>
    <t>failure.outOfSpace.what</t>
  </si>
  <si>
    <t>This device ran out of working space part-way through.</t>
  </si>
  <si>
    <t>failure.outOfSpace.next</t>
  </si>
  <si>
    <t>Free some space, or choose {smaller}, and try again.</t>
  </si>
  <si>
    <t>failure.encoderRefused.what</t>
  </si>
  <si>
    <t>This browser stopped encoding the video part-way through.</t>
  </si>
  <si>
    <t>failure.encoderRefused.next</t>
  </si>
  <si>
    <t>Try the other output under File size / quality. If it happens again, report it with the Send feedback button — the details it adds will help.</t>
  </si>
  <si>
    <t>failure.checkFailed.what</t>
  </si>
  <si>
    <t>The device check did not finish.</t>
  </si>
  <si>
    <t>failure.checkFailed.next</t>
  </si>
  <si>
    <t>Press Check again to run it once more. If it fails again, report it with the Send feedback button.</t>
  </si>
  <si>
    <t>failure.timedOut.what</t>
  </si>
  <si>
    <t>The job stopped reporting progress, so it was stopped.</t>
  </si>
  <si>
    <t>failure.unknown.what</t>
  </si>
  <si>
    <t>Something went wrong while creating the video.</t>
  </si>
  <si>
    <t>failure.tryAgain</t>
  </si>
  <si>
    <t>Try again. If it happens again, report it with the Send feedback button — the details it adds will help.</t>
  </si>
  <si>
    <t>failure.startup.insecure</t>
  </si>
  <si>
    <t>Step 1: the error box when this browser cannot run the tool at all</t>
  </si>
  <si>
    <t>This page needs a secure connection before it can work with your video. Open it at an address that starts https://.</t>
  </si>
  <si>
    <t>failure.startup.noWebCodecs</t>
  </si>
  <si>
    <t>This browser cannot process video, so the tool cannot run here. {remedy}</t>
  </si>
  <si>
    <t>failure.startup.noH264</t>
  </si>
  <si>
    <t>This browser cannot create the video format this tool needs, so the tool cannot run here. {remedy}</t>
  </si>
  <si>
    <t>failure.startup.noWorkingStore</t>
  </si>
  <si>
    <t>This browser gives the tool no working space to build a video in. If you are browsing privately, an ordinary window usually works. {remedy}</t>
  </si>
  <si>
    <t>failure.startup.workerNotStarted</t>
  </si>
  <si>
    <t>The part of the tool that does the work did not start. Reload the page. If it happens again, report it with the Send feedback button.</t>
  </si>
  <si>
    <t>failure.captured</t>
  </si>
  <si>
    <t>The Errors captured panel, when something in the tool goes wrong</t>
  </si>
  <si>
    <t>Something in the tool went wrong. A video being made may not finish; your original file is not affected. Report it with the Send feedback button, which adds these details.</t>
  </si>
  <si>
    <t>systemCheck.summary</t>
  </si>
  <si>
    <t>The System check at the foot of the page</t>
  </si>
  <si>
    <t>System check — {result}</t>
  </si>
  <si>
    <t>Keep {result} as written: {result} is a count from systemCheck.results.</t>
  </si>
  <si>
    <t>systemCheck.results.problems.one</t>
  </si>
  <si>
    <t>{count} problem</t>
  </si>
  <si>
    <t>systemCheck.results.problems.other</t>
  </si>
  <si>
    <t>{count} problems</t>
  </si>
  <si>
    <t>systemCheck.results.warnings.one</t>
  </si>
  <si>
    <t>{count} warning</t>
  </si>
  <si>
    <t>systemCheck.results.warnings.other</t>
  </si>
  <si>
    <t>{count} warnings</t>
  </si>
  <si>
    <t>systemCheck.results.checking</t>
  </si>
  <si>
    <t>checking</t>
  </si>
  <si>
    <t>systemCheck.results.allPassed</t>
  </si>
  <si>
    <t>all passed</t>
  </si>
  <si>
    <t>systemCheck.marks.pass</t>
  </si>
  <si>
    <t>OK</t>
  </si>
  <si>
    <t>A one-word mark beside a check that passed.</t>
  </si>
  <si>
    <t>systemCheck.marks.fail</t>
  </si>
  <si>
    <t>No</t>
  </si>
  <si>
    <t>A one-word mark beside a check that failed.</t>
  </si>
  <si>
    <t>systemCheck.marks.warn</t>
  </si>
  <si>
    <t>!</t>
  </si>
  <si>
    <t>A mark, not a word: keep it as it is unless your language uses another.</t>
  </si>
  <si>
    <t>systemCheck.marks.pending</t>
  </si>
  <si>
    <t>…</t>
  </si>
  <si>
    <t>A mark, not a word: keep it as it is.</t>
  </si>
  <si>
    <t>systemCheck.rows.secure</t>
  </si>
  <si>
    <t>Secure connection (needed for storage access)</t>
  </si>
  <si>
    <t>systemCheck.rows.webcodecs</t>
  </si>
  <si>
    <t>Video processing in the browser (WebCodecs)</t>
  </si>
  <si>
    <t>systemCheck.rows.h264</t>
  </si>
  <si>
    <t>Video format the tool makes (H.264)</t>
  </si>
  <si>
    <t>systemCheck.rows.aac</t>
  </si>
  <si>
    <t>Sound format the tool makes (AAC)</t>
  </si>
  <si>
    <t>systemCheck.rows.opfs</t>
  </si>
  <si>
    <t>Private working storage</t>
  </si>
  <si>
    <t>systemCheck.rows.worker</t>
  </si>
  <si>
    <t>Background processing</t>
  </si>
  <si>
    <t>systemCheck.values.checking</t>
  </si>
  <si>
    <t>Checking</t>
  </si>
  <si>
    <t>systemCheck.values.available</t>
  </si>
  <si>
    <t>Available</t>
  </si>
  <si>
    <t>systemCheck.values.notAvailable</t>
  </si>
  <si>
    <t>Not available</t>
  </si>
  <si>
    <t>systemCheck.values.supported</t>
  </si>
  <si>
    <t>Supported</t>
  </si>
  <si>
    <t>systemCheck.values.notSupported</t>
  </si>
  <si>
    <t>Not supported</t>
  </si>
  <si>
    <t>systemCheck.values.aacNotSupported</t>
  </si>
  <si>
    <t>Not supported — a video with sound cannot be made here</t>
  </si>
  <si>
    <t>systemCheck.values.failedToStart</t>
  </si>
  <si>
    <t>Failed to start</t>
  </si>
  <si>
    <t>systemCheck.values.readyIn</t>
  </si>
  <si>
    <t>Ready in {time}</t>
  </si>
  <si>
    <t>systemCheck.values.noResponse</t>
  </si>
  <si>
    <t>No response</t>
  </si>
  <si>
    <t>errors.heading</t>
  </si>
  <si>
    <t>The Errors captured panel, only shown when something in the tool goes wrong</t>
  </si>
  <si>
    <t>Errors captured</t>
  </si>
  <si>
    <t>errors.technicalDetails</t>
  </si>
  <si>
    <t>Technical details</t>
  </si>
  <si>
    <t>errors.report</t>
  </si>
  <si>
    <t>Report this problem</t>
  </si>
  <si>
    <t>feedback.open</t>
  </si>
  <si>
    <t>The Send feedback dialog</t>
  </si>
  <si>
    <t>Send feedback</t>
  </si>
  <si>
    <t>feedback.heading</t>
  </si>
  <si>
    <t>feedback.intro</t>
  </si>
  <si>
    <t>Your message goes to {address} from your own email app. You will see the email before it is sent.</t>
  </si>
  <si>
    <t>Keep {address} as written: {address} is an email address.</t>
  </si>
  <si>
    <t>feedback.messageLabel</t>
  </si>
  <si>
    <t>Your message</t>
  </si>
  <si>
    <t>feedback.writeFirst</t>
  </si>
  <si>
    <t>Write a message first.</t>
  </si>
  <si>
    <t>feedback.whatSent</t>
  </si>
  <si>
    <t>What will be sent with it</t>
  </si>
  <si>
    <t>feedback.whatSentDetail</t>
  </si>
  <si>
    <t>Details that help find a problem: the app's version, your browser, how far you got, and your video's length, picture size and format. These details never include the video, its name, or anything in it.</t>
  </si>
  <si>
    <t>feedback.openEmail</t>
  </si>
  <si>
    <t>Open email app</t>
  </si>
  <si>
    <t>feedback.copy</t>
  </si>
  <si>
    <t>Copy message and details</t>
  </si>
  <si>
    <t>feedback.close</t>
  </si>
  <si>
    <t>Close</t>
  </si>
  <si>
    <t>feedback.tooLong</t>
  </si>
  <si>
    <t>Your message is too long to hand to your email app in one go. Choose "Copy message and details" and paste them into an email to {address}.</t>
  </si>
  <si>
    <t>feedback.opened</t>
  </si>
  <si>
    <t>Your email app should have opened with your message ready to send. If it did not, choose "Copy message and details" and paste them into an email to {address}.</t>
  </si>
  <si>
    <t>feedback.someOmitted</t>
  </si>
  <si>
    <t>Some details did not fit in the email; the copy has them all.</t>
  </si>
  <si>
    <t>feedback.copied</t>
  </si>
  <si>
    <t>Copied. Paste it into an email to {address}.</t>
  </si>
  <si>
    <t>feedback.couldNotCopy</t>
  </si>
  <si>
    <t>Could not copy. Open "What will be sent with it", select the details, and copy them with your message.</t>
  </si>
  <si>
    <t>feedback.onlyInCopy</t>
  </si>
  <si>
    <t>Too long for the email, so only in "Copy message and details":</t>
  </si>
  <si>
    <t>save.pickerDescription</t>
  </si>
  <si>
    <t>The save dialog, naming the kind of file</t>
  </si>
  <si>
    <t>MP4 video (.mp4)</t>
  </si>
  <si>
    <t>save.stem</t>
  </si>
  <si>
    <t>The name suggested for the saved file</t>
  </si>
  <si>
    <t>video</t>
  </si>
  <si>
    <t>Used as the file name when the original has none.</t>
  </si>
  <si>
    <t>save.marks.branded</t>
  </si>
  <si>
    <t>branded</t>
  </si>
  <si>
    <t>Goes in brackets in the saved file's name, like "Lecture 3 (branded).mp4".</t>
  </si>
  <si>
    <t>save.marks.levelled</t>
  </si>
  <si>
    <t>levelled</t>
  </si>
  <si>
    <t>Goes in brackets in the saved file's name.</t>
  </si>
  <si>
    <t>save.marks.converted</t>
  </si>
  <si>
    <t>converted</t>
  </si>
  <si>
    <t>save.fileName</t>
  </si>
  <si>
    <t>{stem} ({mark}).mp4</t>
  </si>
  <si>
    <t>Keep the brackets and .mp4. Keep {stem}, {mark} as written: {stem} is the user's own file name, without its ending; {mark} is a word from save.marks.</t>
  </si>
  <si>
    <t>save.downloadIos</t>
  </si>
  <si>
    <t>Step 5: saving the finished video</t>
  </si>
  <si>
    <t>Saving to the Files app, under Downloads</t>
  </si>
  <si>
    <t>save.downloadOther</t>
  </si>
  <si>
    <t>Saving to your downloads folder</t>
  </si>
  <si>
    <t>save.download</t>
  </si>
  <si>
    <t>{where} — the browser may still be finishing it. Once it is there, upload it where it is going, or choose another video in step 1. The video stays here until you start another one.</t>
  </si>
  <si>
    <t>Keep {where} as written: {where} is save.downloadIos or save.downloadOther.</t>
  </si>
  <si>
    <t>format.unknown</t>
  </si>
  <si>
    <t>Wherever a length, size or picture fact is shown, mostly Step 1, Video properties</t>
  </si>
  <si>
    <t>unknown</t>
  </si>
  <si>
    <t>Shown alone in place of a fact the app could not read.</t>
  </si>
  <si>
    <t>format.lessThanASecond</t>
  </si>
  <si>
    <t>less than a second</t>
  </si>
  <si>
    <t>format.fewSeconds</t>
  </si>
  <si>
    <t>a few seconds</t>
  </si>
  <si>
    <t>format.frameRate</t>
  </si>
  <si>
    <t>{rate} frames a second</t>
  </si>
  <si>
    <t>format.resolution</t>
  </si>
  <si>
    <t>{width} × {height}</t>
  </si>
  <si>
    <t>Keep {width}, {height} as written: {width} is a number of pixels; {height} is a number of pixels.</t>
  </si>
  <si>
    <t>format.channels.mono</t>
  </si>
  <si>
    <t>Mono (one channel)</t>
  </si>
  <si>
    <t>format.channels.stereo</t>
  </si>
  <si>
    <t>Stereo (two channels)</t>
  </si>
  <si>
    <t>format.channels.surround51</t>
  </si>
  <si>
    <t>5.1 surround</t>
  </si>
  <si>
    <t>format.channels.surround71</t>
  </si>
  <si>
    <t>7.1 surround</t>
  </si>
  <si>
    <t>format.channels.several</t>
  </si>
  <si>
    <t>{count} channels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</si>
</sst>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vertical="top"/>
    </xf>
    <xf borderId="0" fillId="0" fontId="2" numFmtId="0" xfId="0" applyAlignment="1" applyFont="1">
      <alignment readingOrder="0" vertical="top"/>
    </xf>
    <xf borderId="0" fillId="0" fontId="2"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2" t="s">
        <v>6</v>
      </c>
      <c r="B2" s="2" t="s">
        <v>7</v>
      </c>
      <c r="C2" s="2" t="s">
        <v>8</v>
      </c>
      <c r="D2" s="2" t="s">
        <v>9</v>
      </c>
      <c r="E2" s="3" t="str">
        <f>IFERROR(__xludf.DUMMYFUNCTION("GOOGLETRANSLATE(C2,""en"",""zh-CN"")"),"UoN 视频助手")</f>
        <v>UoN 视频助手</v>
      </c>
      <c r="F2" s="3" t="str">
        <f>IFERROR(__xludf.DUMMYFUNCTION("GOOGLETRANSLATE(C2,""en"",""ms"")"),"Pembantu Video UoN")</f>
        <v>Pembantu Video UoN</v>
      </c>
    </row>
    <row r="3">
      <c r="A3" s="2" t="s">
        <v>10</v>
      </c>
      <c r="B3" s="2" t="s">
        <v>11</v>
      </c>
      <c r="C3" s="2" t="s">
        <v>12</v>
      </c>
      <c r="D3" s="3"/>
      <c r="E3" s="3" t="str">
        <f>IFERROR(__xludf.DUMMYFUNCTION("GOOGLETRANSLATE(C3,""en"",""zh-CN"")"),"在视频中添加经诺丁汉大学批准的品牌标识和一致的音频电平，即可获得优化后的文件，而无需将其上传到任何地方。")</f>
        <v>在视频中添加经诺丁汉大学批准的品牌标识和一致的音频电平，即可获得优化后的文件，而无需将其上传到任何地方。</v>
      </c>
      <c r="F3" s="3" t="str">
        <f>IFERROR(__xludf.DUMMYFUNCTION("GOOGLETRANSLATE(C3,""en"",""ms"")"),"Tambahkan penjenamaan Universiti Nottingham yang diluluskan dan tahap audio yang konsisten pada video dan dapatkan semula fail yang dioptimumkan, tanpa memuat naiknya ke mana-mana sahaja.")</f>
        <v>Tambahkan penjenamaan Universiti Nottingham yang diluluskan dan tahap audio yang konsisten pada video dan dapatkan semula fail yang dioptimumkan, tanpa memuat naiknya ke mana-mana sahaja.</v>
      </c>
    </row>
    <row r="4">
      <c r="A4" s="2" t="s">
        <v>13</v>
      </c>
      <c r="B4" s="2" t="s">
        <v>14</v>
      </c>
      <c r="C4" s="2" t="s">
        <v>15</v>
      </c>
      <c r="D4" s="3"/>
      <c r="E4" s="3" t="str">
        <f>IFERROR(__xludf.DUMMYFUNCTION("GOOGLETRANSLATE(C4,""en"",""zh-CN"")"),"跳至内容")</f>
        <v>跳至内容</v>
      </c>
      <c r="F4" s="3" t="str">
        <f>IFERROR(__xludf.DUMMYFUNCTION("GOOGLETRANSLATE(C4,""en"",""ms"")"),"Langkau ke kandungan utama")</f>
        <v>Langkau ke kandungan utama</v>
      </c>
    </row>
    <row r="5">
      <c r="A5" s="2" t="s">
        <v>16</v>
      </c>
      <c r="B5" s="2" t="s">
        <v>17</v>
      </c>
      <c r="C5" s="2" t="s">
        <v>18</v>
      </c>
      <c r="D5" s="2" t="s">
        <v>19</v>
      </c>
      <c r="E5" s="3" t="str">
        <f>IFERROR(__xludf.DUMMYFUNCTION("GOOGLETRANSLATE(C5,""en"",""zh-CN"")"),"页面语言")</f>
        <v>页面语言</v>
      </c>
      <c r="F5" s="3" t="str">
        <f>IFERROR(__xludf.DUMMYFUNCTION("GOOGLETRANSLATE(C5,""en"",""ms"")"),"Bahasa halaman")</f>
        <v>Bahasa halaman</v>
      </c>
    </row>
    <row r="6">
      <c r="A6" s="2" t="s">
        <v>20</v>
      </c>
      <c r="B6" s="2" t="s">
        <v>21</v>
      </c>
      <c r="C6" s="2" t="s">
        <v>22</v>
      </c>
      <c r="D6" s="2" t="s">
        <v>23</v>
      </c>
      <c r="E6" s="3" t="str">
        <f>IFERROR(__xludf.DUMMYFUNCTION("GOOGLETRANSLATE(C6,""en"",""zh-CN"")"),"页面语言：{name}。")</f>
        <v>页面语言：{name}。</v>
      </c>
      <c r="F6" s="3" t="str">
        <f>IFERROR(__xludf.DUMMYFUNCTION("GOOGLETRANSLATE(C6,""en"",""ms"")"),"Bahasa halaman: {name}.")</f>
        <v>Bahasa halaman: {name}.</v>
      </c>
    </row>
    <row r="7">
      <c r="A7" s="2" t="s">
        <v>24</v>
      </c>
      <c r="B7" s="2" t="s">
        <v>25</v>
      </c>
      <c r="C7" s="2" t="s">
        <v>26</v>
      </c>
      <c r="D7" s="2" t="s">
        <v>27</v>
      </c>
      <c r="E7" s="3" t="str">
        <f>IFERROR(__xludf.DUMMYFUNCTION("GOOGLETRANSLATE(C7,""en"",""zh-CN"")"),"此工具对您的视频执行以下操作：")</f>
        <v>此工具对您的视频执行以下操作：</v>
      </c>
      <c r="F7" s="3" t="str">
        <f>IFERROR(__xludf.DUMMYFUNCTION("GOOGLETRANSLATE(C7,""en"",""ms"")"),"Alat ini melakukan perkara berikut pada video anda:")</f>
        <v>Alat ini melakukan perkara berikut pada video anda:</v>
      </c>
    </row>
    <row r="8">
      <c r="A8" s="2" t="s">
        <v>28</v>
      </c>
      <c r="B8" s="2" t="s">
        <v>25</v>
      </c>
      <c r="C8" s="2" t="s">
        <v>29</v>
      </c>
      <c r="D8" s="3"/>
      <c r="E8" s="3" t="str">
        <f>IFERROR(__xludf.DUMMYFUNCTION("GOOGLETRANSLATE(C8,""en"",""zh-CN"")"),"添加已批准的品牌标识。")</f>
        <v>添加已批准的品牌标识。</v>
      </c>
      <c r="F8" s="3" t="str">
        <f>IFERROR(__xludf.DUMMYFUNCTION("GOOGLETRANSLATE(C8,""en"",""ms"")"),"Menambah penjenamaan yang diluluskan.")</f>
        <v>Menambah penjenamaan yang diluluskan.</v>
      </c>
    </row>
    <row r="9">
      <c r="A9" s="2" t="s">
        <v>30</v>
      </c>
      <c r="B9" s="2" t="s">
        <v>25</v>
      </c>
      <c r="C9" s="2" t="s">
        <v>31</v>
      </c>
      <c r="D9" s="3"/>
      <c r="E9" s="3" t="str">
        <f>IFERROR(__xludf.DUMMYFUNCTION("GOOGLETRANSLATE(C9,""en"",""zh-CN"")"),"确保音量稳定。")</f>
        <v>确保音量稳定。</v>
      </c>
      <c r="F9" s="3" t="str">
        <f>IFERROR(__xludf.DUMMYFUNCTION("GOOGLETRANSLATE(C9,""en"",""ms"")"),"Memastikan tahap audio yang konsisten.")</f>
        <v>Memastikan tahap audio yang konsisten.</v>
      </c>
    </row>
    <row r="10">
      <c r="A10" s="2" t="s">
        <v>32</v>
      </c>
      <c r="B10" s="2" t="s">
        <v>25</v>
      </c>
      <c r="C10" s="2" t="s">
        <v>33</v>
      </c>
      <c r="D10" s="3"/>
      <c r="E10" s="3" t="str">
        <f>IFERROR(__xludf.DUMMYFUNCTION("GOOGLETRANSLATE(C10,""en"",""zh-CN"")"),"输出优化后的文件类型和大小。")</f>
        <v>输出优化后的文件类型和大小。</v>
      </c>
      <c r="F10" s="3" t="str">
        <f>IFERROR(__xludf.DUMMYFUNCTION("GOOGLETRANSLATE(C10,""en"",""ms"")"),"Mengeluarkan jenis dan saiz fail yang dioptimumkan.")</f>
        <v>Mengeluarkan jenis dan saiz fail yang dioptimumkan.</v>
      </c>
    </row>
    <row r="11">
      <c r="A11" s="2" t="s">
        <v>34</v>
      </c>
      <c r="B11" s="2" t="s">
        <v>25</v>
      </c>
      <c r="C11" s="2" t="s">
        <v>35</v>
      </c>
      <c r="D11" s="3"/>
      <c r="E11" s="3" t="str">
        <f>IFERROR(__xludf.DUMMYFUNCTION("GOOGLETRANSLATE(C11,""en"",""zh-CN"")"),"您的视频在您的设备上进行处理，不会上传，原始文件也不会改变。")</f>
        <v>您的视频在您的设备上进行处理，不会上传，原始文件也不会改变。</v>
      </c>
      <c r="F11" s="3" t="str">
        <f>IFERROR(__xludf.DUMMYFUNCTION("GOOGLETRANSLATE(C11,""en"",""ms"")"),"Video anda diproses pada peranti anda, ia tidak pernah dimuat naik dan fail asal tidak berubah.")</f>
        <v>Video anda diproses pada peranti anda, ia tidak pernah dimuat naik dan fail asal tidak berubah.</v>
      </c>
    </row>
    <row r="12">
      <c r="A12" s="2" t="s">
        <v>36</v>
      </c>
      <c r="B12" s="2" t="s">
        <v>37</v>
      </c>
      <c r="C12" s="2" t="s">
        <v>38</v>
      </c>
      <c r="D12" s="3"/>
      <c r="E12" s="3" t="str">
        <f>IFERROR(__xludf.DUMMYFUNCTION("GOOGLETRANSLATE(C12,""en"",""zh-CN"")"),"此应用专为 Chrome 浏览器设计和构建，其他浏览器可能无法正常运行。")</f>
        <v>此应用专为 Chrome 浏览器设计和构建，其他浏览器可能无法正常运行。</v>
      </c>
      <c r="F12" s="3" t="str">
        <f>IFERROR(__xludf.DUMMYFUNCTION("GOOGLETRANSLATE(C12,""en"",""ms"")"),"Aplikasi ini direka bentuk dan dibina untuk Chrome, pelayar lain mungkin tidak berfungsi.")</f>
        <v>Aplikasi ini direka bentuk dan dibina untuk Chrome, pelayar lain mungkin tidak berfungsi.</v>
      </c>
    </row>
    <row r="13">
      <c r="A13" s="2" t="s">
        <v>39</v>
      </c>
      <c r="B13" s="2" t="s">
        <v>37</v>
      </c>
      <c r="C13" s="2" t="s">
        <v>40</v>
      </c>
      <c r="D13" s="3"/>
      <c r="E13" s="3" t="str">
        <f>IFERROR(__xludf.DUMMYFUNCTION("GOOGLETRANSLATE(C13,""en"",""zh-CN"")"),"此应用专为 Chrome 浏览器设计和构建，但该浏览器尚未通过所有检查。页面底部的系统检查信息显示了缺失的功能。")</f>
        <v>此应用专为 Chrome 浏览器设计和构建，但该浏览器尚未通过所有检查。页面底部的系统检查信息显示了缺失的功能。</v>
      </c>
      <c r="F13" s="3" t="str">
        <f>IFERROR(__xludf.DUMMYFUNCTION("GOOGLETRANSLATE(C13,""en"",""ms"")"),"Aplikasi ini direka bentuk dan dibina untuk Chrome, dan pelayar ini belum lulus semua pemeriksaannya. Pemeriksaan sistem di kaki halaman menyatakan apa yang hilang.")</f>
        <v>Aplikasi ini direka bentuk dan dibina untuk Chrome, dan pelayar ini belum lulus semua pemeriksaannya. Pemeriksaan sistem di kaki halaman menyatakan apa yang hilang.</v>
      </c>
    </row>
    <row r="14">
      <c r="A14" s="2" t="s">
        <v>41</v>
      </c>
      <c r="B14" s="2" t="s">
        <v>37</v>
      </c>
      <c r="C14" s="2" t="s">
        <v>42</v>
      </c>
      <c r="D14" s="3"/>
      <c r="E14" s="3" t="str">
        <f>IFERROR(__xludf.DUMMYFUNCTION("GOOGLETRANSLATE(C14,""en"",""zh-CN"")"),"此应用专为 Chrome 浏览器设计和构建，并且该浏览器已通过相关检查。")</f>
        <v>此应用专为 Chrome 浏览器设计和构建，并且该浏览器已通过相关检查。</v>
      </c>
      <c r="F14" s="3" t="str">
        <f>IFERROR(__xludf.DUMMYFUNCTION("GOOGLETRANSLATE(C14,""en"",""ms"")"),"Aplikasi ini direka bentuk dan dibina untuk Chrome dan pelayar ini telah lulus pemeriksaan untuknya.")</f>
        <v>Aplikasi ini direka bentuk dan dibina untuk Chrome dan pelayar ini telah lulus pemeriksaan untuknya.</v>
      </c>
    </row>
    <row r="15">
      <c r="A15" s="2" t="s">
        <v>43</v>
      </c>
      <c r="B15" s="2" t="s">
        <v>44</v>
      </c>
      <c r="C15" s="2" t="s">
        <v>45</v>
      </c>
      <c r="D15" s="3"/>
      <c r="E15" s="3" t="str">
        <f>IFERROR(__xludf.DUMMYFUNCTION("GOOGLETRANSLATE(C15,""en"",""zh-CN"")"),"选择一个视频")</f>
        <v>选择一个视频</v>
      </c>
      <c r="F15" s="3" t="str">
        <f>IFERROR(__xludf.DUMMYFUNCTION("GOOGLETRANSLATE(C15,""en"",""ms"")"),"Pilih video")</f>
        <v>Pilih video</v>
      </c>
    </row>
    <row r="16">
      <c r="A16" s="2" t="s">
        <v>46</v>
      </c>
      <c r="B16" s="2" t="s">
        <v>44</v>
      </c>
      <c r="C16" s="2" t="s">
        <v>47</v>
      </c>
      <c r="D16" s="3"/>
      <c r="E16" s="3" t="str">
        <f>IFERROR(__xludf.DUMMYFUNCTION("GOOGLETRANSLATE(C16,""en"",""zh-CN"")"),"修剪")</f>
        <v>修剪</v>
      </c>
      <c r="F16" s="3" t="str">
        <f>IFERROR(__xludf.DUMMYFUNCTION("GOOGLETRANSLATE(C16,""en"",""ms"")"),"Potong")</f>
        <v>Potong</v>
      </c>
    </row>
    <row r="17">
      <c r="A17" s="2" t="s">
        <v>48</v>
      </c>
      <c r="B17" s="2" t="s">
        <v>44</v>
      </c>
      <c r="C17" s="2" t="s">
        <v>49</v>
      </c>
      <c r="D17" s="3"/>
      <c r="E17" s="3" t="str">
        <f>IFERROR(__xludf.DUMMYFUNCTION("GOOGLETRANSLATE(C17,""en"",""zh-CN"")"),"结束品牌宣传")</f>
        <v>结束品牌宣传</v>
      </c>
      <c r="F17" s="3" t="str">
        <f>IFERROR(__xludf.DUMMYFUNCTION("GOOGLETRANSLATE(C17,""en"",""ms"")"),"Penutupan penjenamaan")</f>
        <v>Penutupan penjenamaan</v>
      </c>
    </row>
    <row r="18">
      <c r="A18" s="2" t="s">
        <v>50</v>
      </c>
      <c r="B18" s="2" t="s">
        <v>44</v>
      </c>
      <c r="C18" s="2" t="s">
        <v>51</v>
      </c>
      <c r="D18" s="3"/>
      <c r="E18" s="3" t="str">
        <f>IFERROR(__xludf.DUMMYFUNCTION("GOOGLETRANSLATE(C18,""en"",""zh-CN"")"),"文件大小/质量")</f>
        <v>文件大小/质量</v>
      </c>
      <c r="F18" s="3" t="str">
        <f>IFERROR(__xludf.DUMMYFUNCTION("GOOGLETRANSLATE(C18,""en"",""ms"")"),"Saiz/kualiti fail")</f>
        <v>Saiz/kualiti fail</v>
      </c>
    </row>
    <row r="19">
      <c r="A19" s="2" t="s">
        <v>52</v>
      </c>
      <c r="B19" s="2" t="s">
        <v>44</v>
      </c>
      <c r="C19" s="2" t="s">
        <v>53</v>
      </c>
      <c r="D19" s="3"/>
      <c r="E19" s="3" t="str">
        <f>IFERROR(__xludf.DUMMYFUNCTION("GOOGLETRANSLATE(C19,""en"",""zh-CN"")"),"创造")</f>
        <v>创造</v>
      </c>
      <c r="F19" s="3" t="str">
        <f>IFERROR(__xludf.DUMMYFUNCTION("GOOGLETRANSLATE(C19,""en"",""ms"")"),"Cipta")</f>
        <v>Cipta</v>
      </c>
    </row>
    <row r="20">
      <c r="A20" s="2" t="s">
        <v>54</v>
      </c>
      <c r="B20" s="2" t="s">
        <v>55</v>
      </c>
      <c r="C20" s="2" t="s">
        <v>56</v>
      </c>
      <c r="D20" s="3"/>
      <c r="E20" s="3" t="str">
        <f>IFERROR(__xludf.DUMMYFUNCTION("GOOGLETRANSLATE(C20,""en"",""zh-CN"")"),"或者把它放在这里。")</f>
        <v>或者把它放在这里。</v>
      </c>
      <c r="F20" s="3" t="str">
        <f>IFERROR(__xludf.DUMMYFUNCTION("GOOGLETRANSLATE(C20,""en"",""ms"")"),"Atau letakkannya di sini.")</f>
        <v>Atau letakkannya di sini.</v>
      </c>
    </row>
    <row r="21">
      <c r="A21" s="2" t="s">
        <v>57</v>
      </c>
      <c r="B21" s="2" t="s">
        <v>55</v>
      </c>
      <c r="C21" s="2" t="s">
        <v>58</v>
      </c>
      <c r="D21" s="3"/>
      <c r="E21" s="3" t="str">
        <f>IFERROR(__xludf.DUMMYFUNCTION("GOOGLETRANSLATE(C21,""en"",""zh-CN"")"),"放下手机，来看这个视频吧。")</f>
        <v>放下手机，来看这个视频吧。</v>
      </c>
      <c r="F21" s="3" t="str">
        <f>IFERROR(__xludf.DUMMYFUNCTION("GOOGLETRANSLATE(C21,""en"",""ms"")"),"Jom baca video ni.")</f>
        <v>Jom baca video ni.</v>
      </c>
    </row>
    <row r="22">
      <c r="A22" s="2" t="s">
        <v>59</v>
      </c>
      <c r="B22" s="2" t="s">
        <v>55</v>
      </c>
      <c r="C22" s="2" t="s">
        <v>60</v>
      </c>
      <c r="D22" s="3"/>
      <c r="E22" s="3" t="str">
        <f>IFERROR(__xludf.DUMMYFUNCTION("GOOGLETRANSLATE(C22,""en"",""zh-CN"")"),"观看视频……")</f>
        <v>观看视频……</v>
      </c>
      <c r="F22" s="3" t="str">
        <f>IFERROR(__xludf.DUMMYFUNCTION("GOOGLETRANSLATE(C22,""en"",""ms"")"),"Membaca video itu…")</f>
        <v>Membaca video itu…</v>
      </c>
    </row>
    <row r="23">
      <c r="A23" s="2" t="s">
        <v>61</v>
      </c>
      <c r="B23" s="2" t="s">
        <v>62</v>
      </c>
      <c r="C23" s="2" t="s">
        <v>63</v>
      </c>
      <c r="D23" s="3"/>
      <c r="E23" s="3" t="str">
        <f>IFERROR(__xludf.DUMMYFUNCTION("GOOGLETRANSLATE(C23,""en"",""zh-CN"")"),"正在录制视频。请取消当前视频，或等待录制完成后再选择其他视频。")</f>
        <v>正在录制视频。请取消当前视频，或等待录制完成后再选择其他视频。</v>
      </c>
      <c r="F23" s="3" t="str">
        <f>IFERROR(__xludf.DUMMYFUNCTION("GOOGLETRANSLATE(C23,""en"",""ms"")"),"Video sedang dibuat. Batalkannya atau tunggu sehingga selesai sebelum memilih yang lain.")</f>
        <v>Video sedang dibuat. Batalkannya atau tunggu sehingga selesai sebelum memilih yang lain.</v>
      </c>
    </row>
    <row r="24">
      <c r="A24" s="2" t="s">
        <v>64</v>
      </c>
      <c r="B24" s="2" t="s">
        <v>62</v>
      </c>
      <c r="C24" s="2" t="s">
        <v>65</v>
      </c>
      <c r="D24" s="3"/>
      <c r="E24" s="3" t="str">
        <f>IFERROR(__xludf.DUMMYFUNCTION("GOOGLETRANSLATE(C24,""en"",""zh-CN"")"),"视频正在保存。请停止保存或等待保存完成后再选择其他视频。")</f>
        <v>视频正在保存。请停止保存或等待保存完成后再选择其他视频。</v>
      </c>
      <c r="F24" s="3" t="str">
        <f>IFERROR(__xludf.DUMMYFUNCTION("GOOGLETRANSLATE(C24,""en"",""ms"")"),"Video sedang disimpan. Hentikan penyimpanan atau tunggu sehingga ia selesai sebelum memilih yang lain.")</f>
        <v>Video sedang disimpan. Hentikan penyimpanan atau tunggu sehingga ia selesai sebelum memilih yang lain.</v>
      </c>
    </row>
    <row r="25">
      <c r="A25" s="2" t="s">
        <v>66</v>
      </c>
      <c r="B25" s="2" t="s">
        <v>62</v>
      </c>
      <c r="C25" s="2" t="s">
        <v>67</v>
      </c>
      <c r="D25" s="3"/>
      <c r="E25" s="3" t="str">
        <f>IFERROR(__xludf.DUMMYFUNCTION("GOOGLETRANSLATE(C25,""en"",""zh-CN"")"),"工具还在准备中，稍后会再次上传视频。")</f>
        <v>工具还在准备中，稍后会再次上传视频。</v>
      </c>
      <c r="F25" s="3" t="str">
        <f>IFERROR(__xludf.DUMMYFUNCTION("GOOGLETRANSLATE(C25,""en"",""ms"")"),"Alat ini masih dalam proses penyediaan. Buang video itu sebentar lagi.")</f>
        <v>Alat ini masih dalam proses penyediaan. Buang video itu sebentar lagi.</v>
      </c>
    </row>
    <row r="26">
      <c r="A26" s="2" t="s">
        <v>68</v>
      </c>
      <c r="B26" s="2" t="s">
        <v>62</v>
      </c>
      <c r="C26" s="2" t="s">
        <v>69</v>
      </c>
      <c r="D26" s="3"/>
      <c r="E26" s="3" t="str">
        <f>IFERROR(__xludf.DUMMYFUNCTION("GOOGLETRANSLATE(C26,""en"",""zh-CN"")"),"此浏览器无法运行该工具，因此无法在此处播放视频。以下消息说明了解决方法。")</f>
        <v>此浏览器无法运行该工具，因此无法在此处播放视频。以下消息说明了解决方法。</v>
      </c>
      <c r="F26" s="3" t="str">
        <f>IFERROR(__xludf.DUMMYFUNCTION("GOOGLETRANSLATE(C26,""en"",""ms"")"),"Pelayar ini tidak dapat menjalankan alat ini, jadi tiada video yang boleh dibaca di sini. Mesej di bawah menyatakan apa yang perlu dilakukan.")</f>
        <v>Pelayar ini tidak dapat menjalankan alat ini, jadi tiada video yang boleh dibaca di sini. Mesej di bawah menyatakan apa yang perlu dilakukan.</v>
      </c>
    </row>
    <row r="27">
      <c r="A27" s="2" t="s">
        <v>70</v>
      </c>
      <c r="B27" s="2" t="s">
        <v>62</v>
      </c>
      <c r="C27" s="2" t="s">
        <v>71</v>
      </c>
      <c r="D27" s="3"/>
      <c r="E27" s="3" t="str">
        <f>IFERROR(__xludf.DUMMYFUNCTION("GOOGLETRANSLATE(C27,""en"",""zh-CN"")"),"没有掉落任何可读取的物品。请丢弃一个视频文件。")</f>
        <v>没有掉落任何可读取的物品。请丢弃一个视频文件。</v>
      </c>
      <c r="F27" s="3" t="str">
        <f>IFERROR(__xludf.DUMMYFUNCTION("GOOGLETRANSLATE(C27,""en"",""ms"")"),"Tiada apa-apa yang digugurkan yang boleh dibaca. Gugurkan fail video.")</f>
        <v>Tiada apa-apa yang digugurkan yang boleh dibaca. Gugurkan fail video.</v>
      </c>
    </row>
    <row r="28">
      <c r="A28" s="2" t="s">
        <v>72</v>
      </c>
      <c r="B28" s="2" t="s">
        <v>62</v>
      </c>
      <c r="C28" s="2" t="s">
        <v>73</v>
      </c>
      <c r="D28" s="2" t="s">
        <v>74</v>
      </c>
      <c r="E28" s="3" t="str">
        <f>IFERROR(__xludf.DUMMYFUNCTION("GOOGLETRANSLATE(C28,""en"",""zh-CN"")"),"那是{count}个文件。一次上传一个视频。")</f>
        <v>那是{count}个文件。一次上传一个视频。</v>
      </c>
      <c r="F28" s="3" t="str">
        <f>IFERROR(__xludf.DUMMYFUNCTION("GOOGLETRANSLATE(C28,""en"",""ms"")"),"Itu adalah {count} fail. Lepaskan satu video pada satu masa.")</f>
        <v>Itu adalah {count} fail. Lepaskan satu video pada satu masa.</v>
      </c>
    </row>
    <row r="29">
      <c r="A29" s="2" t="s">
        <v>75</v>
      </c>
      <c r="B29" s="2" t="s">
        <v>62</v>
      </c>
      <c r="C29" s="2" t="s">
        <v>76</v>
      </c>
      <c r="D29" s="3"/>
      <c r="E29" s="3" t="str">
        <f>IFERROR(__xludf.DUMMYFUNCTION("GOOGLETRANSLATE(C29,""en"",""zh-CN"")"),"那不是视频文件。请上传一个视频文件——例如文件名以 .mp4 或 .mov 结尾的文件——或者从上面的一个文件中选择一个。")</f>
        <v>那不是视频文件。请上传一个视频文件——例如文件名以 .mp4 或 .mov 结尾的文件——或者从上面的一个文件中选择一个。</v>
      </c>
      <c r="F29" s="3" t="str">
        <f>IFERROR(__xludf.DUMMYFUNCTION("GOOGLETRANSLATE(C29,""en"",""ms"")"),"Itu bukan fail video. Buang video — fail yang namanya berakhir dengan .mp4 atau .mov, katakan — atau pilih satu di atas.")</f>
        <v>Itu bukan fail video. Buang video — fail yang namanya berakhir dengan .mp4 atau .mov, katakan — atau pilih satu di atas.</v>
      </c>
    </row>
    <row r="30">
      <c r="A30" s="2" t="s">
        <v>77</v>
      </c>
      <c r="B30" s="2" t="s">
        <v>78</v>
      </c>
      <c r="C30" s="2" t="s">
        <v>79</v>
      </c>
      <c r="D30" s="2" t="s">
        <v>80</v>
      </c>
      <c r="E30" s="3" t="str">
        <f>IFERROR(__xludf.DUMMYFUNCTION("GOOGLETRANSLATE(C30,""en"",""zh-CN"")"),"视频朗读。{事实}。")</f>
        <v>视频朗读。{事实}。</v>
      </c>
      <c r="F30" s="3" t="str">
        <f>IFERROR(__xludf.DUMMYFUNCTION("GOOGLETRANSLATE(C30,""en"",""ms"")"),"Video dibaca. {fakta}.")</f>
        <v>Video dibaca. {fakta}.</v>
      </c>
    </row>
    <row r="31">
      <c r="A31" s="2" t="s">
        <v>81</v>
      </c>
      <c r="B31" s="2" t="s">
        <v>78</v>
      </c>
      <c r="C31" s="2" t="s">
        <v>82</v>
      </c>
      <c r="D31" s="3"/>
      <c r="E31" s="3" t="str">
        <f>IFERROR(__xludf.DUMMYFUNCTION("GOOGLETRANSLATE(C31,""en"",""zh-CN"")"),"可变帧率")</f>
        <v>可变帧率</v>
      </c>
      <c r="F31" s="3" t="str">
        <f>IFERROR(__xludf.DUMMYFUNCTION("GOOGLETRANSLATE(C31,""en"",""ms"")"),"kadar bingkai boleh ubah")</f>
        <v>kadar bingkai boleh ubah</v>
      </c>
    </row>
    <row r="32">
      <c r="A32" s="2" t="s">
        <v>83</v>
      </c>
      <c r="B32" s="2" t="s">
        <v>78</v>
      </c>
      <c r="C32" s="2" t="s">
        <v>84</v>
      </c>
      <c r="D32" s="3"/>
      <c r="E32" s="3" t="str">
        <f>IFERROR(__xludf.DUMMYFUNCTION("GOOGLETRANSLATE(C32,""en"",""zh-CN"")"),"无声")</f>
        <v>无声</v>
      </c>
      <c r="F32" s="3" t="str">
        <f>IFERROR(__xludf.DUMMYFUNCTION("GOOGLETRANSLATE(C32,""en"",""ms"")"),"tiada bunyi")</f>
        <v>tiada bunyi</v>
      </c>
    </row>
    <row r="33">
      <c r="A33" s="2" t="s">
        <v>85</v>
      </c>
      <c r="B33" s="2" t="s">
        <v>78</v>
      </c>
      <c r="C33" s="2" t="s">
        <v>86</v>
      </c>
      <c r="D33" s="3"/>
      <c r="E33" s="3" t="str">
        <f>IFERROR(__xludf.DUMMYFUNCTION("GOOGLETRANSLATE(C33,""en"",""zh-CN"")"),"视频属性")</f>
        <v>视频属性</v>
      </c>
      <c r="F33" s="3" t="str">
        <f>IFERROR(__xludf.DUMMYFUNCTION("GOOGLETRANSLATE(C33,""en"",""ms"")"),"Ciri-ciri video")</f>
        <v>Ciri-ciri video</v>
      </c>
    </row>
    <row r="34">
      <c r="A34" s="2" t="s">
        <v>87</v>
      </c>
      <c r="B34" s="2" t="s">
        <v>78</v>
      </c>
      <c r="C34" s="2" t="s">
        <v>88</v>
      </c>
      <c r="D34" s="3"/>
      <c r="E34" s="3" t="str">
        <f>IFERROR(__xludf.DUMMYFUNCTION("GOOGLETRANSLATE(C34,""en"",""zh-CN"")"),"未导入新文件")</f>
        <v>未导入新文件</v>
      </c>
      <c r="F34" s="3" t="str">
        <f>IFERROR(__xludf.DUMMYFUNCTION("GOOGLETRANSLATE(C34,""en"",""ms"")"),"Tidak dibawa ke dalam fail baharu")</f>
        <v>Tidak dibawa ke dalam fail baharu</v>
      </c>
    </row>
    <row r="35">
      <c r="A35" s="2" t="s">
        <v>89</v>
      </c>
      <c r="B35" s="2" t="s">
        <v>90</v>
      </c>
      <c r="C35" s="2" t="s">
        <v>91</v>
      </c>
      <c r="D35" s="3"/>
      <c r="E35" s="3" t="str">
        <f>IFERROR(__xludf.DUMMYFUNCTION("GOOGLETRANSLATE(C35,""en"",""zh-CN"")"),"期间")</f>
        <v>期间</v>
      </c>
      <c r="F35" s="3" t="str">
        <f>IFERROR(__xludf.DUMMYFUNCTION("GOOGLETRANSLATE(C35,""en"",""ms"")"),"Tempoh")</f>
        <v>Tempoh</v>
      </c>
    </row>
    <row r="36">
      <c r="A36" s="2" t="s">
        <v>92</v>
      </c>
      <c r="B36" s="2" t="s">
        <v>90</v>
      </c>
      <c r="C36" s="2" t="s">
        <v>93</v>
      </c>
      <c r="D36" s="3"/>
      <c r="E36" s="3" t="str">
        <f>IFERROR(__xludf.DUMMYFUNCTION("GOOGLETRANSLATE(C36,""en"",""zh-CN"")"),"视频格式")</f>
        <v>视频格式</v>
      </c>
      <c r="F36" s="3" t="str">
        <f>IFERROR(__xludf.DUMMYFUNCTION("GOOGLETRANSLATE(C36,""en"",""ms"")"),"Format video")</f>
        <v>Format video</v>
      </c>
    </row>
    <row r="37">
      <c r="A37" s="2" t="s">
        <v>94</v>
      </c>
      <c r="B37" s="2" t="s">
        <v>90</v>
      </c>
      <c r="C37" s="2" t="s">
        <v>95</v>
      </c>
      <c r="D37" s="3"/>
      <c r="E37" s="3" t="str">
        <f>IFERROR(__xludf.DUMMYFUNCTION("GOOGLETRANSLATE(C37,""en"",""zh-CN"")"),"文件大小")</f>
        <v>文件大小</v>
      </c>
      <c r="F37" s="3" t="str">
        <f>IFERROR(__xludf.DUMMYFUNCTION("GOOGLETRANSLATE(C37,""en"",""ms"")"),"Saiz fail")</f>
        <v>Saiz fail</v>
      </c>
    </row>
    <row r="38">
      <c r="A38" s="2" t="s">
        <v>96</v>
      </c>
      <c r="B38" s="2" t="s">
        <v>90</v>
      </c>
      <c r="C38" s="2" t="s">
        <v>97</v>
      </c>
      <c r="D38" s="3"/>
      <c r="E38" s="3" t="str">
        <f>IFERROR(__xludf.DUMMYFUNCTION("GOOGLETRANSLATE(C38,""en"",""zh-CN"")"),"解决")</f>
        <v>解决</v>
      </c>
      <c r="F38" s="3" t="str">
        <f>IFERROR(__xludf.DUMMYFUNCTION("GOOGLETRANSLATE(C38,""en"",""ms"")"),"Resolusi")</f>
        <v>Resolusi</v>
      </c>
    </row>
    <row r="39">
      <c r="A39" s="2" t="s">
        <v>98</v>
      </c>
      <c r="B39" s="2" t="s">
        <v>90</v>
      </c>
      <c r="C39" s="2" t="s">
        <v>99</v>
      </c>
      <c r="D39" s="3"/>
      <c r="E39" s="3" t="str">
        <f>IFERROR(__xludf.DUMMYFUNCTION("GOOGLETRANSLATE(C39,""en"",""zh-CN"")"),"帧率")</f>
        <v>帧率</v>
      </c>
      <c r="F39" s="3" t="str">
        <f>IFERROR(__xludf.DUMMYFUNCTION("GOOGLETRANSLATE(C39,""en"",""ms"")"),"Kadar bingkai")</f>
        <v>Kadar bingkai</v>
      </c>
    </row>
    <row r="40">
      <c r="A40" s="2" t="s">
        <v>100</v>
      </c>
      <c r="B40" s="2" t="s">
        <v>90</v>
      </c>
      <c r="C40" s="2" t="s">
        <v>101</v>
      </c>
      <c r="D40" s="3"/>
      <c r="E40" s="3" t="str">
        <f>IFERROR(__xludf.DUMMYFUNCTION("GOOGLETRANSLATE(C40,""en"",""zh-CN"")"),"音频格式")</f>
        <v>音频格式</v>
      </c>
      <c r="F40" s="3" t="str">
        <f>IFERROR(__xludf.DUMMYFUNCTION("GOOGLETRANSLATE(C40,""en"",""ms"")"),"Format bunyi")</f>
        <v>Format bunyi</v>
      </c>
    </row>
    <row r="41">
      <c r="A41" s="2" t="s">
        <v>102</v>
      </c>
      <c r="B41" s="2" t="s">
        <v>90</v>
      </c>
      <c r="C41" s="2" t="s">
        <v>103</v>
      </c>
      <c r="D41" s="3"/>
      <c r="E41" s="3" t="str">
        <f>IFERROR(__xludf.DUMMYFUNCTION("GOOGLETRANSLATE(C41,""en"",""zh-CN"")"),"声音通道")</f>
        <v>声音通道</v>
      </c>
      <c r="F41" s="3" t="str">
        <f>IFERROR(__xludf.DUMMYFUNCTION("GOOGLETRANSLATE(C41,""en"",""ms"")"),"Saluran bunyi")</f>
        <v>Saluran bunyi</v>
      </c>
    </row>
    <row r="42">
      <c r="A42" s="2" t="s">
        <v>104</v>
      </c>
      <c r="B42" s="2" t="s">
        <v>90</v>
      </c>
      <c r="C42" s="2" t="s">
        <v>105</v>
      </c>
      <c r="D42" s="3"/>
      <c r="E42" s="3" t="str">
        <f>IFERROR(__xludf.DUMMYFUNCTION("GOOGLETRANSLATE(C42,""en"",""zh-CN"")"),"声音采样率")</f>
        <v>声音采样率</v>
      </c>
      <c r="F42" s="3" t="str">
        <f>IFERROR(__xludf.DUMMYFUNCTION("GOOGLETRANSLATE(C42,""en"",""ms"")"),"Kadar sampel bunyi")</f>
        <v>Kadar sampel bunyi</v>
      </c>
    </row>
    <row r="43">
      <c r="A43" s="2" t="s">
        <v>106</v>
      </c>
      <c r="B43" s="2" t="s">
        <v>90</v>
      </c>
      <c r="C43" s="2" t="s">
        <v>107</v>
      </c>
      <c r="D43" s="3"/>
      <c r="E43" s="3" t="str">
        <f>IFERROR(__xludf.DUMMYFUNCTION("GOOGLETRANSLATE(C43,""en"",""zh-CN"")"),"声音")</f>
        <v>声音</v>
      </c>
      <c r="F43" s="3" t="str">
        <f>IFERROR(__xludf.DUMMYFUNCTION("GOOGLETRANSLATE(C43,""en"",""ms"")"),"Bunyi")</f>
        <v>Bunyi</v>
      </c>
    </row>
    <row r="44">
      <c r="A44" s="2" t="s">
        <v>108</v>
      </c>
      <c r="B44" s="2" t="s">
        <v>90</v>
      </c>
      <c r="C44" s="2" t="s">
        <v>109</v>
      </c>
      <c r="D44" s="3"/>
      <c r="E44" s="3" t="str">
        <f>IFERROR(__xludf.DUMMYFUNCTION("GOOGLETRANSLATE(C44,""en"",""zh-CN"")"),"图片说明")</f>
        <v>图片说明</v>
      </c>
      <c r="F44" s="3" t="str">
        <f>IFERROR(__xludf.DUMMYFUNCTION("GOOGLETRANSLATE(C44,""en"",""ms"")"),"Kapsyen")</f>
        <v>Kapsyen</v>
      </c>
    </row>
    <row r="45">
      <c r="A45" s="2" t="s">
        <v>110</v>
      </c>
      <c r="B45" s="2" t="s">
        <v>90</v>
      </c>
      <c r="C45" s="2" t="s">
        <v>111</v>
      </c>
      <c r="D45" s="3"/>
      <c r="E45" s="3" t="str">
        <f>IFERROR(__xludf.DUMMYFUNCTION("GOOGLETRANSLATE(C45,""en"",""zh-CN"")"),"文件类型")</f>
        <v>文件类型</v>
      </c>
      <c r="F45" s="3" t="str">
        <f>IFERROR(__xludf.DUMMYFUNCTION("GOOGLETRANSLATE(C45,""en"",""ms"")"),"Jenis fail")</f>
        <v>Jenis fail</v>
      </c>
    </row>
    <row r="46">
      <c r="A46" s="2" t="s">
        <v>112</v>
      </c>
      <c r="B46" s="2" t="s">
        <v>78</v>
      </c>
      <c r="C46" s="2" t="s">
        <v>113</v>
      </c>
      <c r="D46" s="3"/>
      <c r="E46" s="3" t="str">
        <f>IFERROR(__xludf.DUMMYFUNCTION("GOOGLETRANSLATE(C46,""en"",""zh-CN"")"),"此浏览器无法读取此视频格式。")</f>
        <v>此浏览器无法读取此视频格式。</v>
      </c>
      <c r="F46" s="3" t="str">
        <f>IFERROR(__xludf.DUMMYFUNCTION("GOOGLETRANSLATE(C46,""en"",""ms"")"),"Pelayar ini tidak dapat membaca format video ini.")</f>
        <v>Pelayar ini tidak dapat membaca format video ini.</v>
      </c>
    </row>
    <row r="47">
      <c r="A47" s="2" t="s">
        <v>114</v>
      </c>
      <c r="B47" s="2" t="s">
        <v>78</v>
      </c>
      <c r="C47" s="2" t="s">
        <v>115</v>
      </c>
      <c r="D47" s="3"/>
      <c r="E47" s="3" t="str">
        <f>IFERROR(__xludf.DUMMYFUNCTION("GOOGLETRANSLATE(C47,""en"",""zh-CN"")"),"此浏览器无法读取此音频格式。")</f>
        <v>此浏览器无法读取此音频格式。</v>
      </c>
      <c r="F47" s="3" t="str">
        <f>IFERROR(__xludf.DUMMYFUNCTION("GOOGLETRANSLATE(C47,""en"",""ms"")"),"Pelayar ini tidak dapat membaca format audio ini.")</f>
        <v>Pelayar ini tidak dapat membaca format audio ini.</v>
      </c>
    </row>
    <row r="48">
      <c r="A48" s="2" t="s">
        <v>116</v>
      </c>
      <c r="B48" s="2" t="s">
        <v>78</v>
      </c>
      <c r="C48" s="2" t="s">
        <v>117</v>
      </c>
      <c r="D48" s="2" t="s">
        <v>118</v>
      </c>
      <c r="E48" s="3" t="str">
        <f>IFERROR(__xludf.DUMMYFUNCTION("GOOGLETRANSLATE(C48,""en"",""zh-CN"")"),"旋转{degrees}°。输出结果将保持竖直状态。")</f>
        <v>旋转{degrees}°。输出结果将保持竖直状态。</v>
      </c>
      <c r="F48" s="3" t="str">
        <f>IFERROR(__xludf.DUMMYFUNCTION("GOOGLETRANSLATE(C48,""en"",""ms"")"),"Diputar {degrees}°. Output akan tegak.")</f>
        <v>Diputar {degrees}°. Output akan tegak.</v>
      </c>
    </row>
    <row r="49">
      <c r="A49" s="2" t="s">
        <v>119</v>
      </c>
      <c r="B49" s="2" t="s">
        <v>78</v>
      </c>
      <c r="C49" s="2" t="s">
        <v>120</v>
      </c>
      <c r="D49" s="2" t="s">
        <v>121</v>
      </c>
      <c r="E49" s="3" t="str">
        <f>IFERROR(__xludf.DUMMYFUNCTION("GOOGLETRANSLATE(C49,""en"",""zh-CN"")"),"平均而言，{rate} 较高，但具体数值会有所波动。")</f>
        <v>平均而言，{rate} 较高，但具体数值会有所波动。</v>
      </c>
      <c r="F49" s="3" t="str">
        <f>IFERROR(__xludf.DUMMYFUNCTION("GOOGLETRANSLATE(C49,""en"",""ms"")"),"{kadar} secara purata, tetapi ia berbeza-beza")</f>
        <v>{kadar} secara purata, tetapi ia berbeza-beza</v>
      </c>
    </row>
    <row r="50">
      <c r="A50" s="2" t="s">
        <v>122</v>
      </c>
      <c r="B50" s="2" t="s">
        <v>78</v>
      </c>
      <c r="C50" s="2" t="s">
        <v>123</v>
      </c>
      <c r="D50" s="3"/>
      <c r="E50" s="3" t="str">
        <f>IFERROR(__xludf.DUMMYFUNCTION("GOOGLETRANSLATE(C50,""en"",""zh-CN"")"),"Teams、Zoom 和屏幕录制文件的格式通常各不相同。输出文件将采用稳定的帧速率，以确保声音和画面同步。")</f>
        <v>Teams、Zoom 和屏幕录制文件的格式通常各不相同。输出文件将采用稳定的帧速率，以确保声音和画面同步。</v>
      </c>
      <c r="F50" s="3" t="str">
        <f>IFERROR(__xludf.DUMMYFUNCTION("GOOGLETRANSLATE(C50,""en"",""ms"")"),"Rakaman daripada Teams, Zum dan tangkapan skrin selalunya berbeza-beza. Output akan menggunakan kadar bingkai yang stabil, yang memastikan bunyi dan gambar berjalan lancar.")</f>
        <v>Rakaman daripada Teams, Zum dan tangkapan skrin selalunya berbeza-beza. Output akan menggunakan kadar bingkai yang stabil, yang memastikan bunyi dan gambar berjalan lancar.</v>
      </c>
    </row>
    <row r="51">
      <c r="A51" s="2" t="s">
        <v>124</v>
      </c>
      <c r="B51" s="2" t="s">
        <v>78</v>
      </c>
      <c r="C51" s="2" t="s">
        <v>125</v>
      </c>
      <c r="D51" s="2" t="s">
        <v>121</v>
      </c>
      <c r="E51" s="3" t="str">
        <f>IFERROR(__xludf.DUMMYFUNCTION("GOOGLETRANSLATE(C51,""en"",""zh-CN"")"),"输出将以 {rate} 速率运行，因此某些帧将会重复。")</f>
        <v>输出将以 {rate} 速率运行，因此某些帧将会重复。</v>
      </c>
      <c r="F51" s="3" t="str">
        <f>IFERROR(__xludf.DUMMYFUNCTION("GOOGLETRANSLATE(C51,""en"",""ms"")"),"Output akan berjalan pada {rate}, jadi beberapa bingkai akan diulang.")</f>
        <v>Output akan berjalan pada {rate}, jadi beberapa bingkai akan diulang.</v>
      </c>
    </row>
    <row r="52">
      <c r="A52" s="2" t="s">
        <v>126</v>
      </c>
      <c r="B52" s="2" t="s">
        <v>78</v>
      </c>
      <c r="C52" s="2" t="s">
        <v>127</v>
      </c>
      <c r="D52" s="2" t="s">
        <v>128</v>
      </c>
      <c r="E52" s="3" t="str">
        <f>IFERROR(__xludf.DUMMYFUNCTION("GOOGLETRANSLATE(C52,""en"",""zh-CN"")"),"千赫兹 (kHz) — 赫兹 (hertz) 采样每秒")</f>
        <v>千赫兹 (kHz) — 赫兹 (hertz) 采样每秒</v>
      </c>
      <c r="F52" s="3" t="str">
        <f>IFERROR(__xludf.DUMMYFUNCTION("GOOGLETRANSLATE(C52,""en"",""ms"")"),"{kilohertz} kHz — {hertz} mengambil sampel sesaat")</f>
        <v>{kilohertz} kHz — {hertz} mengambil sampel sesaat</v>
      </c>
    </row>
    <row r="53">
      <c r="A53" s="2" t="s">
        <v>129</v>
      </c>
      <c r="B53" s="2" t="s">
        <v>78</v>
      </c>
      <c r="C53" s="2" t="s">
        <v>130</v>
      </c>
      <c r="D53" s="3"/>
      <c r="E53" s="3" t="str">
        <f>IFERROR(__xludf.DUMMYFUNCTION("GOOGLETRANSLATE(C53,""en"",""zh-CN"")"),"未找到音轨")</f>
        <v>未找到音轨</v>
      </c>
      <c r="F53" s="3" t="str">
        <f>IFERROR(__xludf.DUMMYFUNCTION("GOOGLETRANSLATE(C53,""en"",""ms"")"),"Tiada trek bunyi ditemui")</f>
        <v>Tiada trek bunyi ditemui</v>
      </c>
    </row>
    <row r="54">
      <c r="A54" s="2" t="s">
        <v>131</v>
      </c>
      <c r="B54" s="2" t="s">
        <v>78</v>
      </c>
      <c r="C54" s="2" t="s">
        <v>132</v>
      </c>
      <c r="D54" s="3"/>
      <c r="E54" s="3" t="str">
        <f>IFERROR(__xludf.DUMMYFUNCTION("GOOGLETRANSLATE(C54,""en"",""zh-CN"")"),"找平工作需要声音确认。其他工作照常进行。")</f>
        <v>找平工作需要声音确认。其他工作照常进行。</v>
      </c>
      <c r="F54" s="3" t="str">
        <f>IFERROR(__xludf.DUMMYFUNCTION("GOOGLETRANSLATE(C54,""en"",""ms"")"),"Kerja meratakan memerlukan bunyi yang kuat. Kerja selebihnya masih berjalan.")</f>
        <v>Kerja meratakan memerlukan bunyi yang kuat. Kerja selebihnya masih berjalan.</v>
      </c>
    </row>
    <row r="55">
      <c r="A55" s="2" t="s">
        <v>133</v>
      </c>
      <c r="B55" s="2" t="s">
        <v>78</v>
      </c>
      <c r="C55" s="2" t="s">
        <v>134</v>
      </c>
      <c r="D55" s="3"/>
      <c r="E55" s="3" t="str">
        <f>IFERROR(__xludf.DUMMYFUNCTION("GOOGLETRANSLATE(C55,""en"",""zh-CN"")"),"无法在此类文件中进行检查")</f>
        <v>无法在此类文件中进行检查</v>
      </c>
      <c r="F55" s="3" t="str">
        <f>IFERROR(__xludf.DUMMYFUNCTION("GOOGLETRANSLATE(C55,""en"",""ms"")"),"Tidak dapat disemak dalam fail jenis ini")</f>
        <v>Tidak dapat disemak dalam fail jenis ini</v>
      </c>
    </row>
    <row r="56">
      <c r="A56" s="2" t="s">
        <v>135</v>
      </c>
      <c r="B56" s="2" t="s">
        <v>78</v>
      </c>
      <c r="C56" s="2" t="s">
        <v>136</v>
      </c>
      <c r="D56" s="2" t="s">
        <v>137</v>
      </c>
      <c r="E56" s="3" t="str">
        <f>IFERROR(__xludf.DUMMYFUNCTION("GOOGLETRANSLATE(C56,""en"",""zh-CN"")"),"已找到 {found}")</f>
        <v>已找到 {found}</v>
      </c>
      <c r="F56" s="3" t="str">
        <f>IFERROR(__xludf.DUMMYFUNCTION("GOOGLETRANSLATE(C56,""en"",""ms"")"),"Dijumpai")</f>
        <v>Dijumpai</v>
      </c>
    </row>
    <row r="57">
      <c r="A57" s="2" t="s">
        <v>138</v>
      </c>
      <c r="B57" s="2" t="s">
        <v>78</v>
      </c>
      <c r="C57" s="2" t="s">
        <v>139</v>
      </c>
      <c r="D57" s="3"/>
      <c r="E57" s="3" t="str">
        <f>IFERROR(__xludf.DUMMYFUNCTION("GOOGLETRANSLATE(C57,""en"",""zh-CN"")"),"此文件中未找到任何内容")</f>
        <v>此文件中未找到任何内容</v>
      </c>
      <c r="F57" s="3" t="str">
        <f>IFERROR(__xludf.DUMMYFUNCTION("GOOGLETRANSLATE(C57,""en"",""ms"")"),"Tiada yang ditemui dalam fail ini")</f>
        <v>Tiada yang ditemui dalam fail ini</v>
      </c>
    </row>
    <row r="58">
      <c r="A58" s="2" t="s">
        <v>140</v>
      </c>
      <c r="B58" s="2" t="s">
        <v>78</v>
      </c>
      <c r="C58" s="2" t="s">
        <v>141</v>
      </c>
      <c r="D58" s="2" t="s">
        <v>142</v>
      </c>
      <c r="E58" s="3" t="str">
        <f>IFERROR(__xludf.DUMMYFUNCTION("GOOGLETRANSLATE(C58,""en"",""zh-CN"")"),"{count} 字幕轨道")</f>
        <v>{count} 字幕轨道</v>
      </c>
      <c r="F58" s="3" t="str">
        <f>IFERROR(__xludf.DUMMYFUNCTION("GOOGLETRANSLATE(C58,""en"",""ms"")"),"{count} trek kapsyen")</f>
        <v>{count} trek kapsyen</v>
      </c>
    </row>
    <row r="59">
      <c r="A59" s="2" t="s">
        <v>143</v>
      </c>
      <c r="B59" s="2" t="s">
        <v>78</v>
      </c>
      <c r="C59" s="2" t="s">
        <v>144</v>
      </c>
      <c r="D59" s="2" t="s">
        <v>145</v>
      </c>
      <c r="E59" s="3" t="str">
        <f>IFERROR(__xludf.DUMMYFUNCTION("GOOGLETRANSLATE(C59,""en"",""zh-CN"")"),"{count} 条字幕轨道")</f>
        <v>{count} 条字幕轨道</v>
      </c>
      <c r="F59" s="3" t="str">
        <f>IFERROR(__xludf.DUMMYFUNCTION("GOOGLETRANSLATE(C59,""en"",""ms"")"),"{count} trek kapsyen")</f>
        <v>{count} trek kapsyen</v>
      </c>
    </row>
    <row r="60">
      <c r="A60" s="2" t="s">
        <v>146</v>
      </c>
      <c r="B60" s="2" t="s">
        <v>78</v>
      </c>
      <c r="C60" s="2" t="s">
        <v>147</v>
      </c>
      <c r="D60" s="2" t="s">
        <v>142</v>
      </c>
      <c r="E60" s="3" t="str">
        <f>IFERROR(__xludf.DUMMYFUNCTION("GOOGLETRANSLATE(C60,""en"",""zh-CN"")"),"{count} 章节轨道")</f>
        <v>{count} 章节轨道</v>
      </c>
      <c r="F60" s="3" t="str">
        <f>IFERROR(__xludf.DUMMYFUNCTION("GOOGLETRANSLATE(C60,""en"",""ms"")"),"{count} trek bab")</f>
        <v>{count} trek bab</v>
      </c>
    </row>
    <row r="61">
      <c r="A61" s="2" t="s">
        <v>148</v>
      </c>
      <c r="B61" s="2" t="s">
        <v>78</v>
      </c>
      <c r="C61" s="2" t="s">
        <v>149</v>
      </c>
      <c r="D61" s="2" t="s">
        <v>145</v>
      </c>
      <c r="E61" s="3" t="str">
        <f>IFERROR(__xludf.DUMMYFUNCTION("GOOGLETRANSLATE(C61,""en"",""zh-CN"")"),"{count} 章节轨道")</f>
        <v>{count} 章节轨道</v>
      </c>
      <c r="F61" s="3" t="str">
        <f>IFERROR(__xludf.DUMMYFUNCTION("GOOGLETRANSLATE(C61,""en"",""ms"")"),"{count} trek bab")</f>
        <v>{count} trek bab</v>
      </c>
    </row>
    <row r="62">
      <c r="A62" s="2" t="s">
        <v>150</v>
      </c>
      <c r="B62" s="2" t="s">
        <v>78</v>
      </c>
      <c r="C62" s="2" t="s">
        <v>151</v>
      </c>
      <c r="D62" s="2" t="s">
        <v>142</v>
      </c>
      <c r="E62" s="3" t="str">
        <f>IFERROR(__xludf.DUMMYFUNCTION("GOOGLETRANSLATE(C62,""en"",""zh-CN"")"),"{count} 更多视频轨道")</f>
        <v>{count} 更多视频轨道</v>
      </c>
      <c r="F62" s="3" t="str">
        <f>IFERROR(__xludf.DUMMYFUNCTION("GOOGLETRANSLATE(C62,""en"",""ms"")"),"{count} lagi trek video")</f>
        <v>{count} lagi trek video</v>
      </c>
    </row>
    <row r="63">
      <c r="A63" s="2" t="s">
        <v>152</v>
      </c>
      <c r="B63" s="2" t="s">
        <v>78</v>
      </c>
      <c r="C63" s="2" t="s">
        <v>153</v>
      </c>
      <c r="D63" s="2" t="s">
        <v>145</v>
      </c>
      <c r="E63" s="3" t="str">
        <f>IFERROR(__xludf.DUMMYFUNCTION("GOOGLETRANSLATE(C63,""en"",""zh-CN"")"),"{count} 个视频轨道")</f>
        <v>{count} 个视频轨道</v>
      </c>
      <c r="F63" s="3" t="str">
        <f>IFERROR(__xludf.DUMMYFUNCTION("GOOGLETRANSLATE(C63,""en"",""ms"")"),"{count} lagi trek video")</f>
        <v>{count} lagi trek video</v>
      </c>
    </row>
    <row r="64">
      <c r="A64" s="2" t="s">
        <v>154</v>
      </c>
      <c r="B64" s="2" t="s">
        <v>78</v>
      </c>
      <c r="C64" s="2" t="s">
        <v>155</v>
      </c>
      <c r="D64" s="2" t="s">
        <v>142</v>
      </c>
      <c r="E64" s="3" t="str">
        <f>IFERROR(__xludf.DUMMYFUNCTION("GOOGLETRANSLATE(C64,""en"",""zh-CN"")"),"{count} 更多音轨")</f>
        <v>{count} 更多音轨</v>
      </c>
      <c r="F64" s="3" t="str">
        <f>IFERROR(__xludf.DUMMYFUNCTION("GOOGLETRANSLATE(C64,""en"",""ms"")"),"{count} lagi runut bunyi")</f>
        <v>{count} lagi runut bunyi</v>
      </c>
    </row>
    <row r="65">
      <c r="A65" s="2" t="s">
        <v>156</v>
      </c>
      <c r="B65" s="2" t="s">
        <v>78</v>
      </c>
      <c r="C65" s="2" t="s">
        <v>157</v>
      </c>
      <c r="D65" s="2" t="s">
        <v>145</v>
      </c>
      <c r="E65" s="3" t="str">
        <f>IFERROR(__xludf.DUMMYFUNCTION("GOOGLETRANSLATE(C65,""en"",""zh-CN"")"),"{count} 更多音轨")</f>
        <v>{count} 更多音轨</v>
      </c>
      <c r="F65" s="3" t="str">
        <f>IFERROR(__xludf.DUMMYFUNCTION("GOOGLETRANSLATE(C65,""en"",""ms"")"),"{count} lagi trek bunyi")</f>
        <v>{count} lagi trek bunyi</v>
      </c>
    </row>
    <row r="66">
      <c r="A66" s="2" t="s">
        <v>158</v>
      </c>
      <c r="B66" s="2" t="s">
        <v>159</v>
      </c>
      <c r="C66" s="2" t="s">
        <v>160</v>
      </c>
      <c r="D66" s="2" t="s">
        <v>137</v>
      </c>
      <c r="E66" s="3" t="str">
        <f>IFERROR(__xludf.DUMMYFUNCTION("GOOGLETRANSLATE(C66,""en"",""zh-CN"")"),"此文件已找到{found}")</f>
        <v>此文件已找到{found}</v>
      </c>
      <c r="F66" s="3" t="str">
        <f>IFERROR(__xludf.DUMMYFUNCTION("GOOGLETRANSLATE(C66,""en"",""ms"")"),"Fail ini telah {ditemui}")</f>
        <v>Fail ini telah {ditemui}</v>
      </c>
    </row>
    <row r="67">
      <c r="A67" s="2" t="s">
        <v>161</v>
      </c>
      <c r="B67" s="2" t="s">
        <v>159</v>
      </c>
      <c r="C67" s="2" t="s">
        <v>162</v>
      </c>
      <c r="D67" s="3"/>
      <c r="E67" s="3" t="str">
        <f>IFERROR(__xludf.DUMMYFUNCTION("GOOGLETRANSLATE(C67,""en"",""zh-CN"")"),"新文件将保留一个画面和一个音轨——即视频属性中列出的那些。其他画面和音轨将不会被保留，其中一个可能包含备选方案，例如其他语言或音频描述。如果您需要这些备选方案，请将原始文件保留在旁边。")</f>
        <v>新文件将保留一个画面和一个音轨——即视频属性中列出的那些。其他画面和音轨将不会被保留，其中一个可能包含备选方案，例如其他语言或音频描述。如果您需要这些备选方案，请将原始文件保留在旁边。</v>
      </c>
      <c r="F67" s="3" t="str">
        <f>IFERROR(__xludf.DUMMYFUNCTION("GOOGLETRANSLATE(C67,""en"",""ms"")"),"Fail baharu menyimpan satu gambar dan satu trek bunyi — yang disenaraikan di bawah sifat Video. Fail lain tidak akan dibawa, dan salah satunya mungkin menyimpan alternatif, seperti bahasa lain atau perihalan audio. Jika anda memerlukannya, simpan fail asa"&amp;"l bersama.")</f>
        <v>Fail baharu menyimpan satu gambar dan satu trek bunyi — yang disenaraikan di bawah sifat Video. Fail lain tidak akan dibawa, dan salah satunya mungkin menyimpan alternatif, seperti bahasa lain atau perihalan audio. Jika anda memerlukannya, simpan fail asal bersama.</v>
      </c>
    </row>
    <row r="68">
      <c r="A68" s="2" t="s">
        <v>163</v>
      </c>
      <c r="B68" s="2" t="s">
        <v>159</v>
      </c>
      <c r="C68" s="2" t="s">
        <v>164</v>
      </c>
      <c r="D68" s="3"/>
      <c r="E68" s="3" t="str">
        <f>IFERROR(__xludf.DUMMYFUNCTION("GOOGLETRANSLATE(C68,""en"",""zh-CN"")"),"无法检查字幕和章节轨道")</f>
        <v>无法检查字幕和章节轨道</v>
      </c>
      <c r="F68" s="3" t="str">
        <f>IFERROR(__xludf.DUMMYFUNCTION("GOOGLETRANSLATE(C68,""en"",""ms"")"),"Trek kapsyen dan bab tidak dapat disemak")</f>
        <v>Trek kapsyen dan bab tidak dapat disemak</v>
      </c>
    </row>
    <row r="69">
      <c r="A69" s="2" t="s">
        <v>165</v>
      </c>
      <c r="B69" s="2" t="s">
        <v>159</v>
      </c>
      <c r="C69" s="2" t="s">
        <v>166</v>
      </c>
      <c r="D69" s="3"/>
      <c r="E69" s="3" t="str">
        <f>IFERROR(__xludf.DUMMYFUNCTION("GOOGLETRANSLATE(C69,""en"",""zh-CN"")"),"此类文件无法进行检查。如果您的文件中包含此类文件，它们将不会被迁移过来。")</f>
        <v>此类文件无法进行检查。如果您的文件中包含此类文件，它们将不会被迁移过来。</v>
      </c>
      <c r="F69" s="3" t="str">
        <f>IFERROR(__xludf.DUMMYFUNCTION("GOOGLETRANSLATE(C69,""en"",""ms"")"),"Fail jenis ini tidak boleh disemak untuknya. Jika fail anda mempunyainya, ia tidak akan dibawa ke mana-mana.")</f>
        <v>Fail jenis ini tidak boleh disemak untuknya. Jika fail anda mempunyainya, ia tidak akan dibawa ke mana-mana.</v>
      </c>
    </row>
    <row r="70">
      <c r="A70" s="2" t="s">
        <v>167</v>
      </c>
      <c r="B70" s="2" t="s">
        <v>159</v>
      </c>
      <c r="C70" s="2" t="s">
        <v>168</v>
      </c>
      <c r="D70" s="3"/>
      <c r="E70" s="3" t="str">
        <f>IFERROR(__xludf.DUMMYFUNCTION("GOOGLETRANSLATE(C70,""en"",""zh-CN"")"),"新文件将不包含字幕轨道，因此无论您将其发布到何处，都必须自行添加字幕。EchoVideo 会在上传后自动生成字幕——请检查字幕。直接发送的文件需要您自行添加字幕。绘制在画面中的字幕将保留。")</f>
        <v>新文件将不包含字幕轨道，因此无论您将其发布到何处，都必须自行添加字幕。EchoVideo 会在上传后自动生成字幕——请检查字幕。直接发送的文件需要您自行添加字幕。绘制在画面中的字幕将保留。</v>
      </c>
      <c r="F70" s="3" t="str">
        <f>IFERROR(__xludf.DUMMYFUNCTION("GOOGLETRANSLATE(C70,""en"",""ms"")"),"Fail baharu tidak akan mempunyai trek kapsyen, jadi di mana sahaja anda menerbitkannya, ia mesti memberikan kapsyen. EchoVideo membuatnya sendiri selepas muat naik — semaknya. Fail yang dihantar terus memerlukan kapsyen yang ditambahkan oleh anda. Kapsyen"&amp;" yang dilukis ke dalam gambar kekal.")</f>
        <v>Fail baharu tidak akan mempunyai trek kapsyen, jadi di mana sahaja anda menerbitkannya, ia mesti memberikan kapsyen. EchoVideo membuatnya sendiri selepas muat naik — semaknya. Fail yang dihantar terus memerlukan kapsyen yang ditambahkan oleh anda. Kapsyen yang dilukis ke dalam gambar kekal.</v>
      </c>
    </row>
    <row r="71">
      <c r="A71" s="2" t="s">
        <v>169</v>
      </c>
      <c r="B71" s="2" t="s">
        <v>159</v>
      </c>
      <c r="C71" s="2" t="s">
        <v>170</v>
      </c>
      <c r="D71" s="3"/>
      <c r="E71" s="3" t="str">
        <f>IFERROR(__xludf.DUMMYFUNCTION("GOOGLETRANSLATE(C71,""en"",""zh-CN"")"),"新文件中将不会包含章节内容。")</f>
        <v>新文件中将不会包含章节内容。</v>
      </c>
      <c r="F71" s="3" t="str">
        <f>IFERROR(__xludf.DUMMYFUNCTION("GOOGLETRANSLATE(C71,""en"",""ms"")"),"Bab-bab tersebut tidak akan berada dalam fail baharu.")</f>
        <v>Bab-bab tersebut tidak akan berada dalam fail baharu.</v>
      </c>
    </row>
    <row r="72">
      <c r="A72" s="2" t="s">
        <v>171</v>
      </c>
      <c r="B72" s="2" t="s">
        <v>159</v>
      </c>
      <c r="C72" s="2" t="s">
        <v>172</v>
      </c>
      <c r="D72" s="3"/>
      <c r="E72" s="3" t="str">
        <f>IFERROR(__xludf.DUMMYFUNCTION("GOOGLETRANSLATE(C72,""en"",""zh-CN"")"),"如果需要原件，请将此文件保存在旁边。")</f>
        <v>如果需要原件，请将此文件保存在旁边。</v>
      </c>
      <c r="F72" s="3" t="str">
        <f>IFERROR(__xludf.DUMMYFUNCTION("GOOGLETRANSLATE(C72,""en"",""ms"")"),"Jika anda memerlukan fail asal, simpan fail ini bersama-sama.")</f>
        <v>Jika anda memerlukan fail asal, simpan fail ini bersama-sama.</v>
      </c>
    </row>
    <row r="73">
      <c r="A73" s="2" t="s">
        <v>173</v>
      </c>
      <c r="B73" s="2" t="s">
        <v>174</v>
      </c>
      <c r="C73" s="2" t="s">
        <v>175</v>
      </c>
      <c r="D73" s="3"/>
      <c r="E73" s="3" t="str">
        <f>IFERROR(__xludf.DUMMYFUNCTION("GOOGLETRANSLATE(C73,""en"",""zh-CN"")"),"可选。您可以剪掉开头或结尾不需要的内容。如果不进行任何操作，则会保留整个视频。预览会播放您当前的原始视频：视频制作过程中会调整音量并添加结尾。")</f>
        <v>可选。您可以剪掉开头或结尾不需要的内容。如果不进行任何操作，则会保留整个视频。预览会播放您当前的原始视频：视频制作过程中会调整音量并添加结尾。</v>
      </c>
      <c r="F73" s="3" t="str">
        <f>IFERROR(__xludf.DUMMYFUNCTION("GOOGLETRANSLATE(C73,""en"",""ms"")"),"Pilihan. Potong bahan yang tidak diingini dari awal atau akhir. Dibiarkan sahaja, keseluruhan video akan disimpan. Pratonton memainkan video asal anda seperti sekarang: bunyi diratakan dan penutup ditambah apabila video dibuat.")</f>
        <v>Pilihan. Potong bahan yang tidak diingini dari awal atau akhir. Dibiarkan sahaja, keseluruhan video akan disimpan. Pratonton memainkan video asal anda seperti sekarang: bunyi diratakan dan penutup ditambah apabila video dibuat.</v>
      </c>
    </row>
    <row r="74">
      <c r="A74" s="2" t="s">
        <v>176</v>
      </c>
      <c r="B74" s="2" t="s">
        <v>174</v>
      </c>
      <c r="C74" s="2" t="s">
        <v>177</v>
      </c>
      <c r="D74" s="3"/>
      <c r="E74" s="3" t="str">
        <f>IFERROR(__xludf.DUMMYFUNCTION("GOOGLETRANSLATE(C74,""en"",""zh-CN"")"),"此文件没有预览功能。您仍然可以设置时间。")</f>
        <v>此文件没有预览功能。您仍然可以设置时间。</v>
      </c>
      <c r="F74" s="3" t="str">
        <f>IFERROR(__xludf.DUMMYFUNCTION("GOOGLETRANSLATE(C74,""en"",""ms"")"),"Pratonton tidak tersedia untuk fail ini. Anda masih boleh menetapkan masa.")</f>
        <v>Pratonton tidak tersedia untuk fail ini. Anda masih boleh menetapkan masa.</v>
      </c>
    </row>
    <row r="75">
      <c r="A75" s="2" t="s">
        <v>178</v>
      </c>
      <c r="B75" s="2" t="s">
        <v>174</v>
      </c>
      <c r="C75" s="2" t="s">
        <v>179</v>
      </c>
      <c r="D75" s="3"/>
      <c r="E75" s="3" t="str">
        <f>IFERROR(__xludf.DUMMYFUNCTION("GOOGLETRANSLATE(C75,""en"",""zh-CN"")"),"开始")</f>
        <v>开始</v>
      </c>
      <c r="F75" s="3" t="str">
        <f>IFERROR(__xludf.DUMMYFUNCTION("GOOGLETRANSLATE(C75,""en"",""ms"")"),"Mula")</f>
        <v>Mula</v>
      </c>
    </row>
    <row r="76">
      <c r="A76" s="2" t="s">
        <v>180</v>
      </c>
      <c r="B76" s="2" t="s">
        <v>174</v>
      </c>
      <c r="C76" s="2" t="s">
        <v>181</v>
      </c>
      <c r="D76" s="3"/>
      <c r="E76" s="3" t="str">
        <f>IFERROR(__xludf.DUMMYFUNCTION("GOOGLETRANSLATE(C76,""en"",""zh-CN"")"),"结尾")</f>
        <v>结尾</v>
      </c>
      <c r="F76" s="3" t="str">
        <f>IFERROR(__xludf.DUMMYFUNCTION("GOOGLETRANSLATE(C76,""en"",""ms"")"),"Tamat")</f>
        <v>Tamat</v>
      </c>
    </row>
    <row r="77">
      <c r="A77" s="2" t="s">
        <v>182</v>
      </c>
      <c r="B77" s="2" t="s">
        <v>174</v>
      </c>
      <c r="C77" s="2" t="s">
        <v>183</v>
      </c>
      <c r="D77" s="3"/>
      <c r="E77" s="3" t="str">
        <f>IFERROR(__xludf.DUMMYFUNCTION("GOOGLETRANSLATE(C77,""en"",""zh-CN"")"),"开始时间")</f>
        <v>开始时间</v>
      </c>
      <c r="F77" s="3" t="str">
        <f>IFERROR(__xludf.DUMMYFUNCTION("GOOGLETRANSLATE(C77,""en"",""ms"")"),"Masa mula")</f>
        <v>Masa mula</v>
      </c>
    </row>
    <row r="78">
      <c r="A78" s="2" t="s">
        <v>184</v>
      </c>
      <c r="B78" s="2" t="s">
        <v>174</v>
      </c>
      <c r="C78" s="2" t="s">
        <v>185</v>
      </c>
      <c r="D78" s="3"/>
      <c r="E78" s="3" t="str">
        <f>IFERROR(__xludf.DUMMYFUNCTION("GOOGLETRANSLATE(C78,""en"",""zh-CN"")"),"结束时间")</f>
        <v>结束时间</v>
      </c>
      <c r="F78" s="3" t="str">
        <f>IFERROR(__xludf.DUMMYFUNCTION("GOOGLETRANSLATE(C78,""en"",""ms"")"),"Masa tamat")</f>
        <v>Masa tamat</v>
      </c>
    </row>
    <row r="79">
      <c r="A79" s="2" t="s">
        <v>186</v>
      </c>
      <c r="B79" s="2" t="s">
        <v>174</v>
      </c>
      <c r="C79" s="2" t="s">
        <v>187</v>
      </c>
      <c r="D79" s="3"/>
      <c r="E79" s="3" t="str">
        <f>IFERROR(__xludf.DUMMYFUNCTION("GOOGLETRANSLATE(C79,""en"",""zh-CN"")"),"从这里开始")</f>
        <v>从这里开始</v>
      </c>
      <c r="F79" s="3" t="str">
        <f>IFERROR(__xludf.DUMMYFUNCTION("GOOGLETRANSLATE(C79,""en"",""ms"")"),"Tetapkan permulaan di sini")</f>
        <v>Tetapkan permulaan di sini</v>
      </c>
    </row>
    <row r="80">
      <c r="A80" s="2" t="s">
        <v>188</v>
      </c>
      <c r="B80" s="2" t="s">
        <v>174</v>
      </c>
      <c r="C80" s="2" t="s">
        <v>189</v>
      </c>
      <c r="D80" s="3"/>
      <c r="E80" s="3" t="str">
        <f>IFERROR(__xludf.DUMMYFUNCTION("GOOGLETRANSLATE(C80,""en"",""zh-CN"")"),"到此结束")</f>
        <v>到此结束</v>
      </c>
      <c r="F80" s="3" t="str">
        <f>IFERROR(__xludf.DUMMYFUNCTION("GOOGLETRANSLATE(C80,""en"",""ms"")"),"Tetapkan hujung di sini")</f>
        <v>Tetapkan hujung di sini</v>
      </c>
    </row>
    <row r="81">
      <c r="A81" s="2" t="s">
        <v>190</v>
      </c>
      <c r="B81" s="2" t="s">
        <v>174</v>
      </c>
      <c r="C81" s="2" t="s">
        <v>191</v>
      </c>
      <c r="D81" s="2" t="s">
        <v>192</v>
      </c>
      <c r="E81" s="3" t="str">
        <f>IFERROR(__xludf.DUMMYFUNCTION("GOOGLETRANSLATE(C81,""en"",""zh-CN"")"),"分钟和秒，例如 1:05.5，或者秒，例如 65.5。")</f>
        <v>分钟和秒，例如 1:05.5，或者秒，例如 65.5。</v>
      </c>
      <c r="F81" s="3" t="str">
        <f>IFERROR(__xludf.DUMMYFUNCTION("GOOGLETRANSLATE(C81,""en"",""ms"")"),"Minit dan saat, seperti 1:05.5, atau saat, seperti 65.5.")</f>
        <v>Minit dan saat, seperti 1:05.5, atau saat, seperti 65.5.</v>
      </c>
    </row>
    <row r="82">
      <c r="A82" s="2" t="s">
        <v>193</v>
      </c>
      <c r="B82" s="2" t="s">
        <v>174</v>
      </c>
      <c r="C82" s="2" t="s">
        <v>194</v>
      </c>
      <c r="D82" s="3"/>
      <c r="E82" s="3" t="str">
        <f>IFERROR(__xludf.DUMMYFUNCTION("GOOGLETRANSLATE(C82,""en"",""zh-CN"")"),"使用完整视频")</f>
        <v>使用完整视频</v>
      </c>
      <c r="F82" s="3" t="str">
        <f>IFERROR(__xludf.DUMMYFUNCTION("GOOGLETRANSLATE(C82,""en"",""ms"")"),"Gunakan keseluruhan video")</f>
        <v>Gunakan keseluruhan video</v>
      </c>
    </row>
    <row r="83">
      <c r="A83" s="2" t="s">
        <v>195</v>
      </c>
      <c r="B83" s="2" t="s">
        <v>174</v>
      </c>
      <c r="C83" s="2" t="s">
        <v>60</v>
      </c>
      <c r="D83" s="3"/>
      <c r="E83" s="3" t="str">
        <f>IFERROR(__xludf.DUMMYFUNCTION("GOOGLETRANSLATE(C83,""en"",""zh-CN"")"),"观看视频……")</f>
        <v>观看视频……</v>
      </c>
      <c r="F83" s="3" t="str">
        <f>IFERROR(__xludf.DUMMYFUNCTION("GOOGLETRANSLATE(C83,""en"",""ms"")"),"Membaca video itu…")</f>
        <v>Membaca video itu…</v>
      </c>
    </row>
    <row r="84">
      <c r="A84" s="2" t="s">
        <v>196</v>
      </c>
      <c r="B84" s="2" t="s">
        <v>174</v>
      </c>
      <c r="C84" s="2" t="s">
        <v>197</v>
      </c>
      <c r="D84" s="3"/>
      <c r="E84" s="3" t="str">
        <f>IFERROR(__xludf.DUMMYFUNCTION("GOOGLETRANSLATE(C84,""en"",""zh-CN"")"),"没有视频可供剪辑：无法读取该文件。")</f>
        <v>没有视频可供剪辑：无法读取该文件。</v>
      </c>
      <c r="F84" s="3" t="str">
        <f>IFERROR(__xludf.DUMMYFUNCTION("GOOGLETRANSLATE(C84,""en"",""ms"")"),"Tiada video untuk dipotong: fail itu tidak dapat dibaca.")</f>
        <v>Tiada video untuk dipotong: fail itu tidak dapat dibaca.</v>
      </c>
    </row>
    <row r="85">
      <c r="A85" s="2" t="s">
        <v>198</v>
      </c>
      <c r="B85" s="2" t="s">
        <v>174</v>
      </c>
      <c r="C85" s="2" t="s">
        <v>199</v>
      </c>
      <c r="D85" s="2" t="s">
        <v>200</v>
      </c>
      <c r="E85" s="3" t="str">
        <f>IFERROR(__xludf.DUMMYFUNCTION("GOOGLETRANSLATE(C85,""en"",""zh-CN"")"),"它比 {seconds} 秒短，因此不能进行裁剪。")</f>
        <v>它比 {seconds} 秒短，因此不能进行裁剪。</v>
      </c>
      <c r="F85" s="3" t="str">
        <f>IFERROR(__xludf.DUMMYFUNCTION("GOOGLETRANSLATE(C85,""en"",""ms"")"),"Ia lebih pendek daripada {seconds} saat, jadi ia tidak boleh dipangkas.")</f>
        <v>Ia lebih pendek daripada {seconds} saat, jadi ia tidak boleh dipangkas.</v>
      </c>
    </row>
    <row r="86">
      <c r="A86" s="2" t="s">
        <v>201</v>
      </c>
      <c r="B86" s="2" t="s">
        <v>174</v>
      </c>
      <c r="C86" s="2" t="s">
        <v>202</v>
      </c>
      <c r="D86" s="2" t="s">
        <v>203</v>
      </c>
      <c r="E86" s="3" t="str">
        <f>IFERROR(__xludf.DUMMYFUNCTION("GOOGLETRANSLATE(C86,""en"",""zh-CN"")"),"保留整个视频，{时长}。")</f>
        <v>保留整个视频，{时长}。</v>
      </c>
      <c r="F86" s="3" t="str">
        <f>IFERROR(__xludf.DUMMYFUNCTION("GOOGLETRANSLATE(C86,""en"",""ms"")"),"Menyimpan keseluruhan video, {duration}.")</f>
        <v>Menyimpan keseluruhan video, {duration}.</v>
      </c>
    </row>
    <row r="87">
      <c r="A87" s="2" t="s">
        <v>204</v>
      </c>
      <c r="B87" s="2" t="s">
        <v>174</v>
      </c>
      <c r="C87" s="2" t="s">
        <v>205</v>
      </c>
      <c r="D87" s="2" t="s">
        <v>206</v>
      </c>
      <c r="E87" s="3" t="str">
        <f>IFERROR(__xludf.DUMMYFUNCTION("GOOGLETRANSLATE(C87,""en"",""zh-CN"")"),"保持 {kept} 的 {duration}。")</f>
        <v>保持 {kept} 的 {duration}。</v>
      </c>
      <c r="F87" s="3" t="str">
        <f>IFERROR(__xludf.DUMMYFUNCTION("GOOGLETRANSLATE(C87,""en"",""ms"")"),"Menyimpan {disimpan} selama {durasi}.")</f>
        <v>Menyimpan {disimpan} selama {durasi}.</v>
      </c>
    </row>
    <row r="88">
      <c r="A88" s="2" t="s">
        <v>207</v>
      </c>
      <c r="B88" s="2" t="s">
        <v>174</v>
      </c>
      <c r="C88" s="2" t="s">
        <v>208</v>
      </c>
      <c r="D88" s="2" t="s">
        <v>209</v>
      </c>
      <c r="E88" s="3" t="str">
        <f>IFERROR(__xludf.DUMMYFUNCTION("GOOGLETRANSLATE(C88,""en"",""zh-CN"")"),"开始")</f>
        <v>开始</v>
      </c>
      <c r="F88" s="3" t="str">
        <f>IFERROR(__xludf.DUMMYFUNCTION("GOOGLETRANSLATE(C88,""en"",""ms"")"),"permulaan")</f>
        <v>permulaan</v>
      </c>
    </row>
    <row r="89">
      <c r="A89" s="2" t="s">
        <v>210</v>
      </c>
      <c r="B89" s="2" t="s">
        <v>174</v>
      </c>
      <c r="C89" s="2" t="s">
        <v>211</v>
      </c>
      <c r="D89" s="2" t="s">
        <v>212</v>
      </c>
      <c r="E89" s="3" t="str">
        <f>IFERROR(__xludf.DUMMYFUNCTION("GOOGLETRANSLATE(C89,""en"",""zh-CN"")"),"结束")</f>
        <v>结束</v>
      </c>
      <c r="F89" s="3" t="str">
        <f>IFERROR(__xludf.DUMMYFUNCTION("GOOGLETRANSLATE(C89,""en"",""ms"")"),"penghujungnya")</f>
        <v>penghujungnya</v>
      </c>
    </row>
    <row r="90">
      <c r="A90" s="2" t="s">
        <v>213</v>
      </c>
      <c r="B90" s="2" t="s">
        <v>214</v>
      </c>
      <c r="C90" s="2" t="s">
        <v>215</v>
      </c>
      <c r="D90" s="2" t="s">
        <v>216</v>
      </c>
      <c r="E90" s="3" t="str">
        <f>IFERROR(__xludf.DUMMYFUNCTION("GOOGLETRANSLATE(C90,""en"",""zh-CN"")"),"开始时间以分钟和秒的形式写出，例如 1:05.5，或者以秒的形式写出，例如 65.5。")</f>
        <v>开始时间以分钟和秒的形式写出，例如 1:05.5，或者以秒的形式写出，例如 65.5。</v>
      </c>
      <c r="F90" s="3" t="str">
        <f>IFERROR(__xludf.DUMMYFUNCTION("GOOGLETRANSLATE(C90,""en"",""ms"")"),"Tulis masa mula sebagai minit dan saat, seperti 1:05.5, atau sebagai saat, seperti 65.5.")</f>
        <v>Tulis masa mula sebagai minit dan saat, seperti 1:05.5, atau sebagai saat, seperti 65.5.</v>
      </c>
    </row>
    <row r="91">
      <c r="A91" s="2" t="s">
        <v>217</v>
      </c>
      <c r="B91" s="2" t="s">
        <v>214</v>
      </c>
      <c r="C91" s="2" t="s">
        <v>218</v>
      </c>
      <c r="D91" s="2" t="s">
        <v>219</v>
      </c>
      <c r="E91" s="3" t="str">
        <f>IFERROR(__xludf.DUMMYFUNCTION("GOOGLETRANSLATE(C91,""en"",""zh-CN"")"),"将结束时间写成分钟和秒，例如 1:05.5，或者只写秒，例如 65.5。")</f>
        <v>将结束时间写成分钟和秒，例如 1:05.5，或者只写秒，例如 65.5。</v>
      </c>
      <c r="F91" s="3" t="str">
        <f>IFERROR(__xludf.DUMMYFUNCTION("GOOGLETRANSLATE(C91,""en"",""ms"")"),"Tulis masa tamat sebagai minit dan saat, seperti 1:05.5, atau sebagai saat, seperti 65.5.")</f>
        <v>Tulis masa tamat sebagai minit dan saat, seperti 1:05.5, atau sebagai saat, seperti 65.5.</v>
      </c>
    </row>
    <row r="92">
      <c r="A92" s="2" t="s">
        <v>220</v>
      </c>
      <c r="B92" s="2" t="s">
        <v>214</v>
      </c>
      <c r="C92" s="2" t="s">
        <v>221</v>
      </c>
      <c r="D92" s="2" t="s">
        <v>222</v>
      </c>
      <c r="E92" s="3" t="str">
        <f>IFERROR(__xludf.DUMMYFUNCTION("GOOGLETRANSLATE(C92,""en"",""zh-CN"")"),"开始时间在视频结束后，视频时长为 {length}。")</f>
        <v>开始时间在视频结束后，视频时长为 {length}。</v>
      </c>
      <c r="F92" s="3" t="str">
        <f>IFERROR(__xludf.DUMMYFUNCTION("GOOGLETRANSLATE(C92,""en"",""ms"")"),"Masa mula adalah selepas tamat video, yang mana panjangnya {length}.")</f>
        <v>Masa mula adalah selepas tamat video, yang mana panjangnya {length}.</v>
      </c>
    </row>
    <row r="93">
      <c r="A93" s="2" t="s">
        <v>223</v>
      </c>
      <c r="B93" s="2" t="s">
        <v>214</v>
      </c>
      <c r="C93" s="2" t="s">
        <v>224</v>
      </c>
      <c r="D93" s="2" t="s">
        <v>225</v>
      </c>
      <c r="E93" s="3" t="str">
        <f>IFERROR(__xludf.DUMMYFUNCTION("GOOGLETRANSLATE(C93,""en"",""zh-CN"")"),"结束时间在视频结束后，视频时长为 {length} 分钟。")</f>
        <v>结束时间在视频结束后，视频时长为 {length} 分钟。</v>
      </c>
      <c r="F93" s="3" t="str">
        <f>IFERROR(__xludf.DUMMYFUNCTION("GOOGLETRANSLATE(C93,""en"",""ms"")"),"Waktu tamat adalah selepas tamatnya video, yang sepanjang {length}.")</f>
        <v>Waktu tamat adalah selepas tamatnya video, yang sepanjang {length}.</v>
      </c>
    </row>
    <row r="94">
      <c r="A94" s="2" t="s">
        <v>226</v>
      </c>
      <c r="B94" s="2" t="s">
        <v>214</v>
      </c>
      <c r="C94" s="2" t="s">
        <v>227</v>
      </c>
      <c r="D94" s="3"/>
      <c r="E94" s="3" t="str">
        <f>IFERROR(__xludf.DUMMYFUNCTION("GOOGLETRANSLATE(C94,""en"",""zh-CN"")"),"视频的开始或结束时间并非时间。")</f>
        <v>视频的开始或结束时间并非时间。</v>
      </c>
      <c r="F94" s="3" t="str">
        <f>IFERROR(__xludf.DUMMYFUNCTION("GOOGLETRANSLATE(C94,""en"",""ms"")"),"Permulaan atau pengakhiran video bukanlah masa.")</f>
        <v>Permulaan atau pengakhiran video bukanlah masa.</v>
      </c>
    </row>
    <row r="95">
      <c r="A95" s="2" t="s">
        <v>228</v>
      </c>
      <c r="B95" s="2" t="s">
        <v>214</v>
      </c>
      <c r="C95" s="2" t="s">
        <v>229</v>
      </c>
      <c r="D95" s="3"/>
      <c r="E95" s="3" t="str">
        <f>IFERROR(__xludf.DUMMYFUNCTION("GOOGLETRANSLATE(C95,""en"",""zh-CN"")"),"开头在视频结尾之后。")</f>
        <v>开头在视频结尾之后。</v>
      </c>
      <c r="F95" s="3" t="str">
        <f>IFERROR(__xludf.DUMMYFUNCTION("GOOGLETRANSLATE(C95,""en"",""ms"")"),"Permulaannya adalah selepas tamatnya video.")</f>
        <v>Permulaannya adalah selepas tamatnya video.</v>
      </c>
    </row>
    <row r="96">
      <c r="A96" s="2" t="s">
        <v>230</v>
      </c>
      <c r="B96" s="2" t="s">
        <v>214</v>
      </c>
      <c r="C96" s="2" t="s">
        <v>231</v>
      </c>
      <c r="D96" s="3"/>
      <c r="E96" s="3" t="str">
        <f>IFERROR(__xludf.DUMMYFUNCTION("GOOGLETRANSLATE(C96,""en"",""zh-CN"")"),"结束必然发生在开始之后。")</f>
        <v>结束必然发生在开始之后。</v>
      </c>
      <c r="F96" s="3" t="str">
        <f>IFERROR(__xludf.DUMMYFUNCTION("GOOGLETRANSLATE(C96,""en"",""ms"")"),"Pengakhiran mesti datang selepas permulaan.")</f>
        <v>Pengakhiran mesti datang selepas permulaan.</v>
      </c>
    </row>
    <row r="97">
      <c r="A97" s="2" t="s">
        <v>232</v>
      </c>
      <c r="B97" s="2" t="s">
        <v>214</v>
      </c>
      <c r="C97" s="2" t="s">
        <v>233</v>
      </c>
      <c r="D97" s="2" t="s">
        <v>200</v>
      </c>
      <c r="E97" s="3" t="str">
        <f>IFERROR(__xludf.DUMMYFUNCTION("GOOGLETRANSLATE(C97,""en"",""zh-CN"")"),"至少保留 {seconds} 秒的视频。")</f>
        <v>至少保留 {seconds} 秒的视频。</v>
      </c>
      <c r="F97" s="3" t="str">
        <f>IFERROR(__xludf.DUMMYFUNCTION("GOOGLETRANSLATE(C97,""en"",""ms"")"),"Simpan sekurang-kurangnya {saat} saat video tersebut.")</f>
        <v>Simpan sekurang-kurangnya {saat} saat video tersebut.</v>
      </c>
    </row>
    <row r="98">
      <c r="A98" s="2" t="s">
        <v>234</v>
      </c>
      <c r="B98" s="2" t="s">
        <v>174</v>
      </c>
      <c r="C98" s="2" t="s">
        <v>235</v>
      </c>
      <c r="D98" s="3"/>
      <c r="E98" s="3" t="str">
        <f>IFERROR(__xludf.DUMMYFUNCTION("GOOGLETRANSLATE(C98,""en"",""zh-CN"")"),"在步骤 2 中正确输入开始时间和结束时间，即可继续。")</f>
        <v>在步骤 2 中正确输入开始时间和结束时间，即可继续。</v>
      </c>
      <c r="F98" s="3" t="str">
        <f>IFERROR(__xludf.DUMMYFUNCTION("GOOGLETRANSLATE(C98,""en"",""ms"")"),"Letakkan masa mula dan tamat dengan betul dalam langkah 2 untuk meneruskan.")</f>
        <v>Letakkan masa mula dan tamat dengan betul dalam langkah 2 untuk meneruskan.</v>
      </c>
    </row>
    <row r="99">
      <c r="A99" s="2" t="s">
        <v>236</v>
      </c>
      <c r="B99" s="2" t="s">
        <v>237</v>
      </c>
      <c r="C99" s="2" t="s">
        <v>49</v>
      </c>
      <c r="D99" s="3"/>
      <c r="E99" s="3" t="str">
        <f>IFERROR(__xludf.DUMMYFUNCTION("GOOGLETRANSLATE(C99,""en"",""zh-CN"")"),"结束品牌宣传")</f>
        <v>结束品牌宣传</v>
      </c>
      <c r="F99" s="3" t="str">
        <f>IFERROR(__xludf.DUMMYFUNCTION("GOOGLETRANSLATE(C99,""en"",""ms"")"),"Penutupan penjenamaan")</f>
        <v>Penutupan penjenamaan</v>
      </c>
    </row>
    <row r="100">
      <c r="A100" s="2" t="s">
        <v>238</v>
      </c>
      <c r="B100" s="2" t="s">
        <v>237</v>
      </c>
      <c r="C100" s="2" t="s">
        <v>239</v>
      </c>
      <c r="D100" s="3"/>
      <c r="E100" s="3" t="str">
        <f>IFERROR(__xludf.DUMMYFUNCTION("GOOGLETRANSLATE(C100,""en"",""zh-CN"")"),"动画类型")</f>
        <v>动画类型</v>
      </c>
      <c r="F100" s="3" t="str">
        <f>IFERROR(__xludf.DUMMYFUNCTION("GOOGLETRANSLATE(C100,""en"",""ms"")"),"Jenis animasi")</f>
        <v>Jenis animasi</v>
      </c>
    </row>
    <row r="101">
      <c r="A101" s="2" t="s">
        <v>240</v>
      </c>
      <c r="B101" s="2" t="s">
        <v>237</v>
      </c>
      <c r="C101" s="2" t="s">
        <v>241</v>
      </c>
      <c r="D101" s="3"/>
      <c r="E101" s="3" t="str">
        <f>IFERROR(__xludf.DUMMYFUNCTION("GOOGLETRANSLATE(C101,""en"",""zh-CN"")"),"切")</f>
        <v>切</v>
      </c>
      <c r="F101" s="3" t="str">
        <f>IFERROR(__xludf.DUMMYFUNCTION("GOOGLETRANSLATE(C101,""en"",""ms"")"),"Potong")</f>
        <v>Potong</v>
      </c>
    </row>
    <row r="102">
      <c r="A102" s="2" t="s">
        <v>242</v>
      </c>
      <c r="B102" s="2" t="s">
        <v>237</v>
      </c>
      <c r="C102" s="2" t="s">
        <v>243</v>
      </c>
      <c r="D102" s="3"/>
      <c r="E102" s="3" t="str">
        <f>IFERROR(__xludf.DUMMYFUNCTION("GOOGLETRANSLATE(C102,""en"",""zh-CN"")"),"褪色")</f>
        <v>褪色</v>
      </c>
      <c r="F102" s="3" t="str">
        <f>IFERROR(__xludf.DUMMYFUNCTION("GOOGLETRANSLATE(C102,""en"",""ms"")"),"Pudar")</f>
        <v>Pudar</v>
      </c>
    </row>
    <row r="103">
      <c r="A103" s="2" t="s">
        <v>244</v>
      </c>
      <c r="B103" s="2" t="s">
        <v>237</v>
      </c>
      <c r="C103" s="2" t="s">
        <v>245</v>
      </c>
      <c r="D103" s="3"/>
      <c r="E103" s="3" t="str">
        <f>IFERROR(__xludf.DUMMYFUNCTION("GOOGLETRANSLATE(C103,""en"",""zh-CN"")"),"滑动")</f>
        <v>滑动</v>
      </c>
      <c r="F103" s="3" t="str">
        <f>IFERROR(__xludf.DUMMYFUNCTION("GOOGLETRANSLATE(C103,""en"",""ms"")"),"Slaid")</f>
        <v>Slaid</v>
      </c>
    </row>
    <row r="104">
      <c r="A104" s="2" t="s">
        <v>246</v>
      </c>
      <c r="B104" s="2" t="s">
        <v>237</v>
      </c>
      <c r="C104" s="2" t="s">
        <v>247</v>
      </c>
      <c r="D104" s="3"/>
      <c r="E104" s="3" t="str">
        <f>IFERROR(__xludf.DUMMYFUNCTION("GOOGLETRANSLATE(C104,""en"",""zh-CN"")"),"没有任何")</f>
        <v>没有任何</v>
      </c>
      <c r="F104" s="3" t="str">
        <f>IFERROR(__xludf.DUMMYFUNCTION("GOOGLETRANSLATE(C104,""en"",""ms"")"),"Tiada")</f>
        <v>Tiada</v>
      </c>
    </row>
    <row r="105">
      <c r="A105" s="2" t="s">
        <v>248</v>
      </c>
      <c r="B105" s="2" t="s">
        <v>237</v>
      </c>
      <c r="C105" s="2" t="s">
        <v>249</v>
      </c>
      <c r="D105" s="3"/>
      <c r="E105" s="3" t="str">
        <f>IFERROR(__xludf.DUMMYFUNCTION("GOOGLETRANSLATE(C105,""en"",""zh-CN"")"),"动画拍摄现场")</f>
        <v>动画拍摄现场</v>
      </c>
      <c r="F105" s="3" t="str">
        <f>IFERROR(__xludf.DUMMYFUNCTION("GOOGLETRANSLATE(C105,""en"",""ms"")"),"Permulaan animasi")</f>
        <v>Permulaan animasi</v>
      </c>
    </row>
    <row r="106">
      <c r="A106" s="2" t="s">
        <v>250</v>
      </c>
      <c r="B106" s="2" t="s">
        <v>237</v>
      </c>
      <c r="C106" s="2" t="s">
        <v>251</v>
      </c>
      <c r="D106" s="3"/>
      <c r="E106" s="3" t="str">
        <f>IFERROR(__xludf.DUMMYFUNCTION("GOOGLETRANSLATE(C106,""en"",""zh-CN"")"),"现有")</f>
        <v>现有</v>
      </c>
      <c r="F106" s="3" t="str">
        <f>IFERROR(__xludf.DUMMYFUNCTION("GOOGLETRANSLATE(C106,""en"",""ms"")"),"Lebih daripada sedia ada")</f>
        <v>Lebih daripada sedia ada</v>
      </c>
    </row>
    <row r="107">
      <c r="A107" s="2" t="s">
        <v>252</v>
      </c>
      <c r="B107" s="2" t="s">
        <v>237</v>
      </c>
      <c r="C107" s="2" t="s">
        <v>253</v>
      </c>
      <c r="D107" s="3"/>
      <c r="E107" s="3" t="str">
        <f>IFERROR(__xludf.DUMMYFUNCTION("GOOGLETRANSLATE(C107,""en"",""zh-CN"")"),"过度生成的定格画面")</f>
        <v>过度生成的定格画面</v>
      </c>
      <c r="F107" s="3" t="str">
        <f>IFERROR(__xludf.DUMMYFUNCTION("GOOGLETRANSLATE(C107,""en"",""ms"")"),"Bingkai pembekuan yang dijana secara berlebihan")</f>
        <v>Bingkai pembekuan yang dijana secara berlebihan</v>
      </c>
    </row>
    <row r="108">
      <c r="A108" s="2" t="s">
        <v>254</v>
      </c>
      <c r="B108" s="2" t="s">
        <v>237</v>
      </c>
      <c r="C108" s="2" t="s">
        <v>255</v>
      </c>
      <c r="D108" s="3"/>
      <c r="E108" s="3" t="str">
        <f>IFERROR(__xludf.DUMMYFUNCTION("GOOGLETRANSLATE(C108,""en"",""zh-CN"")"),"关于动画拍摄现场")</f>
        <v>关于动画拍摄现场</v>
      </c>
      <c r="F108" s="3" t="str">
        <f>IFERROR(__xludf.DUMMYFUNCTION("GOOGLETRANSLATE(C108,""en"",""ms"")"),"Perihal permulaan animasi")</f>
        <v>Perihal permulaan animasi</v>
      </c>
    </row>
    <row r="109">
      <c r="A109" s="2" t="s">
        <v>256</v>
      </c>
      <c r="B109" s="2" t="s">
        <v>237</v>
      </c>
      <c r="C109" s="2" t="s">
        <v>251</v>
      </c>
      <c r="D109" s="3"/>
      <c r="E109" s="3" t="str">
        <f>IFERROR(__xludf.DUMMYFUNCTION("GOOGLETRANSLATE(C109,""en"",""zh-CN"")"),"现有")</f>
        <v>现有</v>
      </c>
      <c r="F109" s="3" t="str">
        <f>IFERROR(__xludf.DUMMYFUNCTION("GOOGLETRANSLATE(C109,""en"",""ms"")"),"Lebih daripada sedia ada")</f>
        <v>Lebih daripada sedia ada</v>
      </c>
    </row>
    <row r="110">
      <c r="A110" s="2" t="s">
        <v>257</v>
      </c>
      <c r="B110" s="2" t="s">
        <v>237</v>
      </c>
      <c r="C110" s="2" t="s">
        <v>258</v>
      </c>
      <c r="D110" s="2" t="s">
        <v>259</v>
      </c>
      <c r="E110" s="3" t="str">
        <f>IFERROR(__xludf.DUMMYFUNCTION("GOOGLETRANSLATE(C110,""en"",""zh-CN"")"),"结尾音乐会在视频的最后一秒播放，并随着音乐的推进逐渐增强，覆盖那最后一秒。")</f>
        <v>结尾音乐会在视频的最后一秒播放，并随着音乐的推进逐渐增强，覆盖那最后一秒。</v>
      </c>
      <c r="F110" s="3" t="str">
        <f>IFERROR(__xludf.DUMMYFUNCTION("GOOGLETRANSLATE(C110,""en"",""ms"")"),"— penutup dimainkan pada saat terakhir video anda. Ia merangkumi saat itu semasa ia berkembang.")</f>
        <v>— penutup dimainkan pada saat terakhir video anda. Ia merangkumi saat itu semasa ia berkembang.</v>
      </c>
    </row>
    <row r="111">
      <c r="A111" s="2" t="s">
        <v>260</v>
      </c>
      <c r="B111" s="2" t="s">
        <v>237</v>
      </c>
      <c r="C111" s="2" t="s">
        <v>253</v>
      </c>
      <c r="D111" s="3"/>
      <c r="E111" s="3" t="str">
        <f>IFERROR(__xludf.DUMMYFUNCTION("GOOGLETRANSLATE(C111,""en"",""zh-CN"")"),"过度生成的定格画面")</f>
        <v>过度生成的定格画面</v>
      </c>
      <c r="F111" s="3" t="str">
        <f>IFERROR(__xludf.DUMMYFUNCTION("GOOGLETRANSLATE(C111,""en"",""ms"")"),"Bingkai pembekuan yang dijana secara berlebihan")</f>
        <v>Bingkai pembekuan yang dijana secara berlebihan</v>
      </c>
    </row>
    <row r="112">
      <c r="A112" s="2" t="s">
        <v>261</v>
      </c>
      <c r="B112" s="2" t="s">
        <v>237</v>
      </c>
      <c r="C112" s="2" t="s">
        <v>262</v>
      </c>
      <c r="D112" s="2" t="s">
        <v>263</v>
      </c>
      <c r="E112" s="3" t="str">
        <f>IFERROR(__xludf.DUMMYFUNCTION("GOOGLETRANSLATE(C112,""en"",""zh-CN"")"),"— 最后一帧画面会额外停留一秒钟。片尾字幕会覆盖掉这一秒，所以视频中的所有内容都不会被遮挡。")</f>
        <v>— 最后一帧画面会额外停留一秒钟。片尾字幕会覆盖掉这一秒，所以视频中的所有内容都不会被遮挡。</v>
      </c>
      <c r="F112" s="3" t="str">
        <f>IFERROR(__xludf.DUMMYFUNCTION("GOOGLETRANSLATE(C112,""en"",""ms"")"),"— bingkai terakhir anda ditahan selama satu saat tambahan. Penutup dimainkan di atasnya, jadi tiada apa-apa dalam video anda diliputi.")</f>
        <v>— bingkai terakhir anda ditahan selama satu saat tambahan. Penutup dimainkan di atasnya, jadi tiada apa-apa dalam video anda diliputi.</v>
      </c>
    </row>
    <row r="113">
      <c r="A113" s="2" t="s">
        <v>264</v>
      </c>
      <c r="B113" s="2" t="s">
        <v>237</v>
      </c>
      <c r="C113" s="2" t="s">
        <v>265</v>
      </c>
      <c r="D113" s="3"/>
      <c r="E113" s="3" t="str">
        <f>IFERROR(__xludf.DUMMYFUNCTION("GOOGLETRANSLATE(C113,""en"",""zh-CN"")"),"颜色")</f>
        <v>颜色</v>
      </c>
      <c r="F113" s="3" t="str">
        <f>IFERROR(__xludf.DUMMYFUNCTION("GOOGLETRANSLATE(C113,""en"",""ms"")"),"Warna")</f>
        <v>Warna</v>
      </c>
    </row>
    <row r="114">
      <c r="A114" s="2" t="s">
        <v>266</v>
      </c>
      <c r="B114" s="2" t="s">
        <v>237</v>
      </c>
      <c r="C114" s="2" t="s">
        <v>267</v>
      </c>
      <c r="D114" s="2" t="s">
        <v>268</v>
      </c>
      <c r="E114" s="3" t="str">
        <f>IFERROR(__xludf.DUMMYFUNCTION("GOOGLETRANSLATE(C114,""en"",""zh-CN"")"),"蓝色的")</f>
        <v>蓝色的</v>
      </c>
      <c r="F114" s="3" t="str">
        <f>IFERROR(__xludf.DUMMYFUNCTION("GOOGLETRANSLATE(C114,""en"",""ms"")"),"Biru")</f>
        <v>Biru</v>
      </c>
    </row>
    <row r="115">
      <c r="A115" s="2" t="s">
        <v>269</v>
      </c>
      <c r="B115" s="2" t="s">
        <v>237</v>
      </c>
      <c r="C115" s="2" t="s">
        <v>270</v>
      </c>
      <c r="D115" s="2" t="s">
        <v>271</v>
      </c>
      <c r="E115" s="3" t="str">
        <f>IFERROR(__xludf.DUMMYFUNCTION("GOOGLETRANSLATE(C115,""en"",""zh-CN"")"),"白色的")</f>
        <v>白色的</v>
      </c>
      <c r="F115" s="3" t="str">
        <f>IFERROR(__xludf.DUMMYFUNCTION("GOOGLETRANSLATE(C115,""en"",""ms"")"),"Putih")</f>
        <v>Putih</v>
      </c>
    </row>
    <row r="116">
      <c r="A116" s="2" t="s">
        <v>272</v>
      </c>
      <c r="B116" s="2" t="s">
        <v>237</v>
      </c>
      <c r="C116" s="2" t="s">
        <v>273</v>
      </c>
      <c r="D116" s="2" t="s">
        <v>274</v>
      </c>
      <c r="E116" s="3" t="str">
        <f>IFERROR(__xludf.DUMMYFUNCTION("GOOGLETRANSLATE(C116,""en"",""zh-CN"")"),"不与 Cut 一起使用。")</f>
        <v>不与 Cut 一起使用。</v>
      </c>
      <c r="F116" s="3" t="str">
        <f>IFERROR(__xludf.DUMMYFUNCTION("GOOGLETRANSLATE(C116,""en"",""ms"")"),"Tidak digunakan dengan Cut.")</f>
        <v>Tidak digunakan dengan Cut.</v>
      </c>
    </row>
    <row r="117">
      <c r="A117" s="2" t="s">
        <v>275</v>
      </c>
      <c r="B117" s="2" t="s">
        <v>237</v>
      </c>
      <c r="C117" s="2" t="s">
        <v>276</v>
      </c>
      <c r="D117" s="2" t="s">
        <v>277</v>
      </c>
      <c r="E117" s="3" t="str">
        <f>IFERROR(__xludf.DUMMYFUNCTION("GOOGLETRANSLATE(C117,""en"",""zh-CN"")"),"不与 None 一起使用。")</f>
        <v>不与 None 一起使用。</v>
      </c>
      <c r="F117" s="3" t="str">
        <f>IFERROR(__xludf.DUMMYFUNCTION("GOOGLETRANSLATE(C117,""en"",""ms"")"),"Tidak digunakan dengan Tiada.")</f>
        <v>Tidak digunakan dengan Tiada.</v>
      </c>
    </row>
    <row r="118">
      <c r="A118" s="2" t="s">
        <v>278</v>
      </c>
      <c r="B118" s="2" t="s">
        <v>279</v>
      </c>
      <c r="C118" s="2" t="s">
        <v>280</v>
      </c>
      <c r="D118" s="3"/>
      <c r="E118" s="3" t="str">
        <f>IFERROR(__xludf.DUMMYFUNCTION("GOOGLETRANSLATE(C118,""en"",""zh-CN"")"),"不会新增大学关闭信息。")</f>
        <v>不会新增大学关闭信息。</v>
      </c>
      <c r="F118" s="3" t="str">
        <f>IFERROR(__xludf.DUMMYFUNCTION("GOOGLETRANSLATE(C118,""en"",""ms"")"),"Tiada penutupan Universiti akan ditambah.")</f>
        <v>Tiada penutupan Universiti akan ditambah.</v>
      </c>
    </row>
    <row r="119">
      <c r="A119" s="2" t="s">
        <v>281</v>
      </c>
      <c r="B119" s="2" t="s">
        <v>279</v>
      </c>
      <c r="C119" s="2" t="s">
        <v>282</v>
      </c>
      <c r="D119" s="2" t="s">
        <v>142</v>
      </c>
      <c r="E119" s="3" t="str">
        <f>IFERROR(__xludf.DUMMYFUNCTION("GOOGLETRANSLATE(C119,""en"",""zh-CN"")"),"增加 {count} 秒。")</f>
        <v>增加 {count} 秒。</v>
      </c>
      <c r="F119" s="3" t="str">
        <f>IFERROR(__xludf.DUMMYFUNCTION("GOOGLETRANSLATE(C119,""en"",""ms"")"),"Menambah {count} saat.")</f>
        <v>Menambah {count} saat.</v>
      </c>
    </row>
    <row r="120">
      <c r="A120" s="2" t="s">
        <v>283</v>
      </c>
      <c r="B120" s="2" t="s">
        <v>279</v>
      </c>
      <c r="C120" s="2" t="s">
        <v>284</v>
      </c>
      <c r="D120" s="2" t="s">
        <v>145</v>
      </c>
      <c r="E120" s="3" t="str">
        <f>IFERROR(__xludf.DUMMYFUNCTION("GOOGLETRANSLATE(C120,""en"",""zh-CN"")"),"增加 {count} 秒。")</f>
        <v>增加 {count} 秒。</v>
      </c>
      <c r="F120" s="3" t="str">
        <f>IFERROR(__xludf.DUMMYFUNCTION("GOOGLETRANSLATE(C120,""en"",""ms"")"),"Menambah {count} saat.")</f>
        <v>Menambah {count} saat.</v>
      </c>
    </row>
    <row r="121">
      <c r="A121" s="2" t="s">
        <v>285</v>
      </c>
      <c r="B121" s="2" t="s">
        <v>279</v>
      </c>
      <c r="C121" s="2" t="s">
        <v>286</v>
      </c>
      <c r="D121" s="2" t="s">
        <v>287</v>
      </c>
      <c r="E121" s="3" t="str">
        <f>IFERROR(__xludf.DUMMYFUNCTION("GOOGLETRANSLATE(C121,""en"",""zh-CN"")"),"视频切换到蓝色结束卡。{adds}")</f>
        <v>视频切换到蓝色结束卡。{adds}</v>
      </c>
      <c r="F121" s="3" t="str">
        <f>IFERROR(__xludf.DUMMYFUNCTION("GOOGLETRANSLATE(C121,""en"",""ms"")"),"Video anda dipotong ke kad penutup biru. {adds}")</f>
        <v>Video anda dipotong ke kad penutup biru. {adds}</v>
      </c>
    </row>
    <row r="122">
      <c r="A122" s="2" t="s">
        <v>288</v>
      </c>
      <c r="B122" s="2" t="s">
        <v>279</v>
      </c>
      <c r="C122" s="2" t="s">
        <v>289</v>
      </c>
      <c r="D122" s="2" t="s">
        <v>290</v>
      </c>
      <c r="E122" s="3" t="str">
        <f>IFERROR(__xludf.DUMMYFUNCTION("GOOGLETRANSLATE(C122,""en"",""zh-CN"")"),"视频切换到白色结束卡。{adds}")</f>
        <v>视频切换到白色结束卡。{adds}</v>
      </c>
      <c r="F122" s="3" t="str">
        <f>IFERROR(__xludf.DUMMYFUNCTION("GOOGLETRANSLATE(C122,""en"",""ms"")"),"Video anda dipotong ke kad penutup putih. {adds}")</f>
        <v>Video anda dipotong ke kad penutup putih. {adds}</v>
      </c>
    </row>
    <row r="123">
      <c r="A123" s="2" t="s">
        <v>291</v>
      </c>
      <c r="B123" s="2" t="s">
        <v>279</v>
      </c>
      <c r="C123" s="2" t="s">
        <v>292</v>
      </c>
      <c r="D123" s="2" t="s">
        <v>293</v>
      </c>
      <c r="E123" s="3" t="str">
        <f>IFERROR(__xludf.DUMMYFUNCTION("GOOGLETRANSLATE(C123,""en"",""zh-CN"")"),"在蓝色结尾淡入时，最后一帧画面会保持静止，所以不会遮挡任何内容。{adds}")</f>
        <v>在蓝色结尾淡入时，最后一帧画面会保持静止，所以不会遮挡任何内容。{adds}</v>
      </c>
      <c r="F123" s="3" t="str">
        <f>IFERROR(__xludf.DUMMYFUNCTION("GOOGLETRANSLATE(C123,""en"",""ms"")"),"Bingkai terakhir anda ditahan sementara penutupan biru pudar, jadi tiada apa yang ditutup. {tambah}")</f>
        <v>Bingkai terakhir anda ditahan sementara penutupan biru pudar, jadi tiada apa yang ditutup. {tambah}</v>
      </c>
    </row>
    <row r="124">
      <c r="A124" s="2" t="s">
        <v>294</v>
      </c>
      <c r="B124" s="2" t="s">
        <v>279</v>
      </c>
      <c r="C124" s="2" t="s">
        <v>295</v>
      </c>
      <c r="D124" s="2" t="s">
        <v>296</v>
      </c>
      <c r="E124" s="3" t="str">
        <f>IFERROR(__xludf.DUMMYFUNCTION("GOOGLETRANSLATE(C124,""en"",""zh-CN"")"),"在蓝色边框滑入时，最后一帧画面会被保留，所以不会遮挡任何内容。{adds}")</f>
        <v>在蓝色边框滑入时，最后一帧画面会被保留，所以不会遮挡任何内容。{adds}</v>
      </c>
      <c r="F124" s="3" t="str">
        <f>IFERROR(__xludf.DUMMYFUNCTION("GOOGLETRANSLATE(C124,""en"",""ms"")"),"Bingkai terakhir anda dipegang semasa penutup biru meluncur masuk, jadi tiada apa yang ditutup. {adds}")</f>
        <v>Bingkai terakhir anda dipegang semasa penutup biru meluncur masuk, jadi tiada apa yang ditutup. {adds}</v>
      </c>
    </row>
    <row r="125">
      <c r="A125" s="2" t="s">
        <v>297</v>
      </c>
      <c r="B125" s="2" t="s">
        <v>279</v>
      </c>
      <c r="C125" s="2" t="s">
        <v>298</v>
      </c>
      <c r="D125" s="2" t="s">
        <v>299</v>
      </c>
      <c r="E125" s="3" t="str">
        <f>IFERROR(__xludf.DUMMYFUNCTION("GOOGLETRANSLATE(C125,""en"",""zh-CN"")"),"最后一帧画面会在白色结尾淡入时保持静止，所以不会遮挡任何内容。{adds}")</f>
        <v>最后一帧画面会在白色结尾淡入时保持静止，所以不会遮挡任何内容。{adds}</v>
      </c>
      <c r="F125" s="3" t="str">
        <f>IFERROR(__xludf.DUMMYFUNCTION("GOOGLETRANSLATE(C125,""en"",""ms"")"),"Bingkai terakhir anda dipegang sementara penutup putih pudar, jadi tiada apa yang ditutupi. {tambah}")</f>
        <v>Bingkai terakhir anda dipegang sementara penutup putih pudar, jadi tiada apa yang ditutupi. {tambah}</v>
      </c>
    </row>
    <row r="126">
      <c r="A126" s="2" t="s">
        <v>300</v>
      </c>
      <c r="B126" s="2" t="s">
        <v>279</v>
      </c>
      <c r="C126" s="2" t="s">
        <v>301</v>
      </c>
      <c r="D126" s="2" t="s">
        <v>302</v>
      </c>
      <c r="E126" s="3" t="str">
        <f>IFERROR(__xludf.DUMMYFUNCTION("GOOGLETRANSLATE(C126,""en"",""zh-CN"")"),"最后一帧画面保持静止，同时白色封口滑入，因此不会遮挡任何内容。{adds}")</f>
        <v>最后一帧画面保持静止，同时白色封口滑入，因此不会遮挡任何内容。{adds}</v>
      </c>
      <c r="F126" s="3" t="str">
        <f>IFERROR(__xludf.DUMMYFUNCTION("GOOGLETRANSLATE(C126,""en"",""ms"")"),"Bingkai terakhir anda dipegang semasa penutup putih meluncur masuk, jadi tiada apa yang ditutup. {tambah}")</f>
        <v>Bingkai terakhir anda dipegang semasa penutup putih meluncur masuk, jadi tiada apa yang ditutup. {tambah}</v>
      </c>
    </row>
    <row r="127">
      <c r="A127" s="2" t="s">
        <v>303</v>
      </c>
      <c r="B127" s="2" t="s">
        <v>279</v>
      </c>
      <c r="C127" s="2" t="s">
        <v>304</v>
      </c>
      <c r="D127" s="2" t="s">
        <v>293</v>
      </c>
      <c r="E127" s="3" t="str">
        <f>IFERROR(__xludf.DUMMYFUNCTION("GOOGLETRANSLATE(C127,""en"",""zh-CN"")"),"蓝色的结尾画面在视频最后一秒逐渐淡入，最终覆盖住视频内容。{adds}")</f>
        <v>蓝色的结尾画面在视频最后一秒逐渐淡入，最终覆盖住视频内容。{adds}</v>
      </c>
      <c r="F127" s="3" t="str">
        <f>IFERROR(__xludf.DUMMYFUNCTION("GOOGLETRANSLATE(C127,""en"",""ms"")"),"Penutup biru pudar pada saat terakhir video anda, menutupinya semasa ia terbentuk. {tambah}")</f>
        <v>Penutup biru pudar pada saat terakhir video anda, menutupinya semasa ia terbentuk. {tambah}</v>
      </c>
    </row>
    <row r="128">
      <c r="A128" s="2" t="s">
        <v>305</v>
      </c>
      <c r="B128" s="2" t="s">
        <v>279</v>
      </c>
      <c r="C128" s="2" t="s">
        <v>306</v>
      </c>
      <c r="D128" s="2" t="s">
        <v>296</v>
      </c>
      <c r="E128" s="3" t="str">
        <f>IFERROR(__xludf.DUMMYFUNCTION("GOOGLETRANSLATE(C128,""en"",""zh-CN"")"),"蓝色的结尾画面在视频最后一秒逐渐出现并覆盖住它。{adds}")</f>
        <v>蓝色的结尾画面在视频最后一秒逐渐出现并覆盖住它。{adds}</v>
      </c>
      <c r="F128" s="3" t="str">
        <f>IFERROR(__xludf.DUMMYFUNCTION("GOOGLETRANSLATE(C128,""en"",""ms"")"),"Penutup biru meluncur masuk pada saat terakhir video anda, menutupinya semasa ia terbentuk. {adds}")</f>
        <v>Penutup biru meluncur masuk pada saat terakhir video anda, menutupinya semasa ia terbentuk. {adds}</v>
      </c>
    </row>
    <row r="129">
      <c r="A129" s="2" t="s">
        <v>307</v>
      </c>
      <c r="B129" s="2" t="s">
        <v>279</v>
      </c>
      <c r="C129" s="2" t="s">
        <v>308</v>
      </c>
      <c r="D129" s="2" t="s">
        <v>299</v>
      </c>
      <c r="E129" s="3" t="str">
        <f>IFERROR(__xludf.DUMMYFUNCTION("GOOGLETRANSLATE(C129,""en"",""zh-CN"")"),"白色结尾画面逐渐淡入，覆盖了视频的最后一秒。{adds}")</f>
        <v>白色结尾画面逐渐淡入，覆盖了视频的最后一秒。{adds}</v>
      </c>
      <c r="F129" s="3" t="str">
        <f>IFERROR(__xludf.DUMMYFUNCTION("GOOGLETRANSLATE(C129,""en"",""ms"")"),"Penutupan putih pudar pada saat terakhir video anda, menutupinya semasa ia terbentuk. {tambah}")</f>
        <v>Penutupan putih pudar pada saat terakhir video anda, menutupinya semasa ia terbentuk. {tambah}</v>
      </c>
    </row>
    <row r="130">
      <c r="A130" s="2" t="s">
        <v>309</v>
      </c>
      <c r="B130" s="2" t="s">
        <v>279</v>
      </c>
      <c r="C130" s="2" t="s">
        <v>310</v>
      </c>
      <c r="D130" s="2" t="s">
        <v>302</v>
      </c>
      <c r="E130" s="3" t="str">
        <f>IFERROR(__xludf.DUMMYFUNCTION("GOOGLETRANSLATE(C130,""en"",""zh-CN"")"),"白色结尾画面在视频最后一秒逐渐出现并覆盖住画面。{adds}")</f>
        <v>白色结尾画面在视频最后一秒逐渐出现并覆盖住画面。{adds}</v>
      </c>
      <c r="F130" s="3" t="str">
        <f>IFERROR(__xludf.DUMMYFUNCTION("GOOGLETRANSLATE(C130,""en"",""ms"")"),"Penutup putih meluncur masuk pada saat terakhir video anda, menutupinya semasa ia terbentuk. {adds}")</f>
        <v>Penutup putih meluncur masuk pada saat terakhir video anda, menutupinya semasa ia terbentuk. {adds}</v>
      </c>
    </row>
    <row r="131">
      <c r="A131" s="2" t="s">
        <v>311</v>
      </c>
      <c r="B131" s="2" t="s">
        <v>312</v>
      </c>
      <c r="C131" s="2" t="s">
        <v>51</v>
      </c>
      <c r="D131" s="3"/>
      <c r="E131" s="3" t="str">
        <f>IFERROR(__xludf.DUMMYFUNCTION("GOOGLETRANSLATE(C131,""en"",""zh-CN"")"),"文件大小/质量")</f>
        <v>文件大小/质量</v>
      </c>
      <c r="F131" s="3" t="str">
        <f>IFERROR(__xludf.DUMMYFUNCTION("GOOGLETRANSLATE(C131,""en"",""ms"")"),"Saiz/kualiti fail")</f>
        <v>Saiz/kualiti fail</v>
      </c>
    </row>
    <row r="132">
      <c r="A132" s="2" t="s">
        <v>313</v>
      </c>
      <c r="B132" s="2" t="s">
        <v>312</v>
      </c>
      <c r="C132" s="2" t="s">
        <v>314</v>
      </c>
      <c r="D132" s="2" t="s">
        <v>315</v>
      </c>
      <c r="E132" s="3" t="str">
        <f>IFERROR(__xludf.DUMMYFUNCTION("GOOGLETRANSLATE(C132,""en"",""zh-CN"")"),"更大/更好")</f>
        <v>更大/更好</v>
      </c>
      <c r="F132" s="3" t="str">
        <f>IFERROR(__xludf.DUMMYFUNCTION("GOOGLETRANSLATE(C132,""en"",""ms"")"),"Lebih besar / lebih baik")</f>
        <v>Lebih besar / lebih baik</v>
      </c>
    </row>
    <row r="133">
      <c r="A133" s="2" t="s">
        <v>316</v>
      </c>
      <c r="B133" s="2" t="s">
        <v>312</v>
      </c>
      <c r="C133" s="2" t="s">
        <v>317</v>
      </c>
      <c r="D133" s="2" t="s">
        <v>318</v>
      </c>
      <c r="E133" s="3" t="str">
        <f>IFERROR(__xludf.DUMMYFUNCTION("GOOGLETRANSLATE(C133,""en"",""zh-CN"")"),"更小/减少")</f>
        <v>更小/减少</v>
      </c>
      <c r="F133" s="3" t="str">
        <f>IFERROR(__xludf.DUMMYFUNCTION("GOOGLETRANSLATE(C133,""en"",""ms"")"),"Lebih kecil / dikurangkan")</f>
        <v>Lebih kecil / dikurangkan</v>
      </c>
    </row>
    <row r="134">
      <c r="A134" s="2" t="s">
        <v>319</v>
      </c>
      <c r="B134" s="2" t="s">
        <v>312</v>
      </c>
      <c r="C134" s="2" t="s">
        <v>320</v>
      </c>
      <c r="D134" s="3"/>
      <c r="E134" s="3" t="str">
        <f>IFERROR(__xludf.DUMMYFUNCTION("GOOGLETRANSLATE(C134,""en"",""zh-CN"")"),"例如 EchoVideo 或 YouTube 等。")</f>
        <v>例如 EchoVideo 或 YouTube 等。</v>
      </c>
      <c r="F134" s="3" t="str">
        <f>IFERROR(__xludf.DUMMYFUNCTION("GOOGLETRANSLATE(C134,""en"",""ms"")"),"Untuk EchoVideo atau YouTube dll.")</f>
        <v>Untuk EchoVideo atau YouTube dll.</v>
      </c>
    </row>
    <row r="135">
      <c r="A135" s="2" t="s">
        <v>321</v>
      </c>
      <c r="B135" s="2" t="s">
        <v>312</v>
      </c>
      <c r="C135" s="2" t="s">
        <v>322</v>
      </c>
      <c r="D135" s="3"/>
      <c r="E135" s="3" t="str">
        <f>IFERROR(__xludf.DUMMYFUNCTION("GOOGLETRANSLATE(C135,""en"",""zh-CN"")"),"用于短信或电子邮件等。")</f>
        <v>用于短信或电子邮件等。</v>
      </c>
      <c r="F135" s="3" t="str">
        <f>IFERROR(__xludf.DUMMYFUNCTION("GOOGLETRANSLATE(C135,""en"",""ms"")"),"Untuk pesanan atau emel dan sebagainya.")</f>
        <v>Untuk pesanan atau emel dan sebagainya.</v>
      </c>
    </row>
    <row r="136">
      <c r="A136" s="2" t="s">
        <v>323</v>
      </c>
      <c r="B136" s="2" t="s">
        <v>324</v>
      </c>
      <c r="C136" s="2" t="s">
        <v>325</v>
      </c>
      <c r="D136" s="3"/>
      <c r="E136" s="3" t="str">
        <f>IFERROR(__xludf.DUMMYFUNCTION("GOOGLETRANSLATE(C136,""en"",""zh-CN"")"),"制作完成的视频会一直保存在这里，直到您保存或关闭此标签页。")</f>
        <v>制作完成的视频会一直保存在这里，直到您保存或关闭此标签页。</v>
      </c>
      <c r="F136" s="3" t="str">
        <f>IFERROR(__xludf.DUMMYFUNCTION("GOOGLETRANSLATE(C136,""en"",""ms"")"),"Video yang telah siap disimpan di sini sehingga anda menyimpannya atau menutup tab ini.")</f>
        <v>Video yang telah siap disimpan di sini sehingga anda menyimpannya atau menutup tab ini.</v>
      </c>
    </row>
    <row r="137">
      <c r="A137" s="2" t="s">
        <v>326</v>
      </c>
      <c r="B137" s="2" t="s">
        <v>324</v>
      </c>
      <c r="C137" s="2" t="s">
        <v>327</v>
      </c>
      <c r="D137" s="3"/>
      <c r="E137" s="3" t="str">
        <f>IFERROR(__xludf.DUMMYFUNCTION("GOOGLETRANSLATE(C137,""en"",""zh-CN"")"),"公布进展")</f>
        <v>公布进展</v>
      </c>
      <c r="F137" s="3" t="str">
        <f>IFERROR(__xludf.DUMMYFUNCTION("GOOGLETRANSLATE(C137,""en"",""ms"")"),"Umumkan kemajuan")</f>
        <v>Umumkan kemajuan</v>
      </c>
    </row>
    <row r="138">
      <c r="A138" s="2" t="s">
        <v>328</v>
      </c>
      <c r="B138" s="2" t="s">
        <v>324</v>
      </c>
      <c r="C138" s="2" t="s">
        <v>329</v>
      </c>
      <c r="D138" s="3"/>
      <c r="E138" s="3" t="str">
        <f>IFERROR(__xludf.DUMMYFUNCTION("GOOGLETRANSLATE(C138,""en"",""zh-CN"")"),"视频制作过程中，会为屏幕阅读器大声朗读每个步骤。最终结果也会一一公布。")</f>
        <v>视频制作过程中，会为屏幕阅读器大声朗读每个步骤。最终结果也会一一公布。</v>
      </c>
      <c r="F138" s="3" t="str">
        <f>IFERROR(__xludf.DUMMYFUNCTION("GOOGLETRANSLATE(C138,""en"",""ms"")"),"Menyebutkan setiap peringkat dengan kuat untuk pembaca skrin semasa video dibuat. Keputusan sentiasa diumumkan.")</f>
        <v>Menyebutkan setiap peringkat dengan kuat untuk pembaca skrin semasa video dibuat. Keputusan sentiasa diumumkan.</v>
      </c>
    </row>
    <row r="139">
      <c r="A139" s="2" t="s">
        <v>330</v>
      </c>
      <c r="B139" s="2" t="s">
        <v>324</v>
      </c>
      <c r="C139" s="2" t="s">
        <v>331</v>
      </c>
      <c r="D139" s="3"/>
      <c r="E139" s="3" t="str">
        <f>IFERROR(__xludf.DUMMYFUNCTION("GOOGLETRANSLATE(C139,""en"",""zh-CN"")"),"制作你的视频")</f>
        <v>制作你的视频</v>
      </c>
      <c r="F139" s="3" t="str">
        <f>IFERROR(__xludf.DUMMYFUNCTION("GOOGLETRANSLATE(C139,""en"",""ms"")"),"Mencipta video anda")</f>
        <v>Mencipta video anda</v>
      </c>
    </row>
    <row r="140">
      <c r="A140" s="2" t="s">
        <v>332</v>
      </c>
      <c r="B140" s="2" t="s">
        <v>324</v>
      </c>
      <c r="C140" s="2" t="s">
        <v>333</v>
      </c>
      <c r="D140" s="3"/>
      <c r="E140" s="3" t="str">
        <f>IFERROR(__xludf.DUMMYFUNCTION("GOOGLETRANSLATE(C140,""en"",""zh-CN"")"),"制作视频")</f>
        <v>制作视频</v>
      </c>
      <c r="F140" s="3" t="str">
        <f>IFERROR(__xludf.DUMMYFUNCTION("GOOGLETRANSLATE(C140,""en"",""ms"")"),"Cipta video itu")</f>
        <v>Cipta video itu</v>
      </c>
    </row>
    <row r="141">
      <c r="A141" s="2" t="s">
        <v>334</v>
      </c>
      <c r="B141" s="2" t="s">
        <v>324</v>
      </c>
      <c r="C141" s="2" t="s">
        <v>335</v>
      </c>
      <c r="D141" s="3"/>
      <c r="E141" s="3" t="str">
        <f>IFERROR(__xludf.DUMMYFUNCTION("GOOGLETRANSLATE(C141,""en"",""zh-CN"")"),"取消")</f>
        <v>取消</v>
      </c>
      <c r="F141" s="3" t="str">
        <f>IFERROR(__xludf.DUMMYFUNCTION("GOOGLETRANSLATE(C141,""en"",""ms"")"),"Batal")</f>
        <v>Batal</v>
      </c>
    </row>
    <row r="142">
      <c r="A142" s="2" t="s">
        <v>336</v>
      </c>
      <c r="B142" s="2" t="s">
        <v>324</v>
      </c>
      <c r="C142" s="2" t="s">
        <v>337</v>
      </c>
      <c r="D142" s="3"/>
      <c r="E142" s="3" t="str">
        <f>IFERROR(__xludf.DUMMYFUNCTION("GOOGLETRANSLATE(C142,""en"",""zh-CN"")"),"继续")</f>
        <v>继续</v>
      </c>
      <c r="F142" s="3" t="str">
        <f>IFERROR(__xludf.DUMMYFUNCTION("GOOGLETRANSLATE(C142,""en"",""ms"")"),"Teruskan juga")</f>
        <v>Teruskan juga</v>
      </c>
    </row>
    <row r="143">
      <c r="A143" s="2" t="s">
        <v>338</v>
      </c>
      <c r="B143" s="2" t="s">
        <v>324</v>
      </c>
      <c r="C143" s="2" t="s">
        <v>339</v>
      </c>
      <c r="D143" s="3"/>
      <c r="E143" s="3" t="str">
        <f>IFERROR(__xludf.DUMMYFUNCTION("GOOGLETRANSLATE(C143,""en"",""zh-CN"")"),"停止检查")</f>
        <v>停止检查</v>
      </c>
      <c r="F143" s="3" t="str">
        <f>IFERROR(__xludf.DUMMYFUNCTION("GOOGLETRANSLATE(C143,""en"",""ms"")"),"Hentikan pemeriksaan")</f>
        <v>Hentikan pemeriksaan</v>
      </c>
    </row>
    <row r="144">
      <c r="A144" s="2" t="s">
        <v>340</v>
      </c>
      <c r="B144" s="2" t="s">
        <v>324</v>
      </c>
      <c r="C144" s="2" t="s">
        <v>341</v>
      </c>
      <c r="D144" s="3"/>
      <c r="E144" s="3" t="str">
        <f>IFERROR(__xludf.DUMMYFUNCTION("GOOGLETRANSLATE(C144,""en"",""zh-CN"")"),"再次检查")</f>
        <v>再次检查</v>
      </c>
      <c r="F144" s="3" t="str">
        <f>IFERROR(__xludf.DUMMYFUNCTION("GOOGLETRANSLATE(C144,""en"",""ms"")"),"Semak semula")</f>
        <v>Semak semula</v>
      </c>
    </row>
    <row r="145">
      <c r="A145" s="2" t="s">
        <v>342</v>
      </c>
      <c r="B145" s="2" t="s">
        <v>324</v>
      </c>
      <c r="C145" s="2" t="s">
        <v>343</v>
      </c>
      <c r="D145" s="3"/>
      <c r="E145" s="3" t="str">
        <f>IFERROR(__xludf.DUMMYFUNCTION("GOOGLETRANSLATE(C145,""en"",""zh-CN"")"),"停止保存")</f>
        <v>停止保存</v>
      </c>
      <c r="F145" s="3" t="str">
        <f>IFERROR(__xludf.DUMMYFUNCTION("GOOGLETRANSLATE(C145,""en"",""ms"")"),"Berhenti menyimpan")</f>
        <v>Berhenti menyimpan</v>
      </c>
    </row>
    <row r="146">
      <c r="A146" s="2" t="s">
        <v>344</v>
      </c>
      <c r="B146" s="2" t="s">
        <v>324</v>
      </c>
      <c r="C146" s="2" t="s">
        <v>345</v>
      </c>
      <c r="D146" s="3"/>
      <c r="E146" s="3" t="str">
        <f>IFERROR(__xludf.DUMMYFUNCTION("GOOGLETRANSLATE(C146,""en"",""zh-CN"")"),"保存视频")</f>
        <v>保存视频</v>
      </c>
      <c r="F146" s="3" t="str">
        <f>IFERROR(__xludf.DUMMYFUNCTION("GOOGLETRANSLATE(C146,""en"",""ms"")"),"Simpan video itu")</f>
        <v>Simpan video itu</v>
      </c>
    </row>
    <row r="147">
      <c r="A147" s="2" t="s">
        <v>346</v>
      </c>
      <c r="B147" s="2" t="s">
        <v>324</v>
      </c>
      <c r="C147" s="2" t="s">
        <v>347</v>
      </c>
      <c r="D147" s="3"/>
      <c r="E147" s="3" t="str">
        <f>IFERROR(__xludf.DUMMYFUNCTION("GOOGLETRANSLATE(C147,""en"",""zh-CN"")"),"已保存")</f>
        <v>已保存</v>
      </c>
      <c r="F147" s="3" t="str">
        <f>IFERROR(__xludf.DUMMYFUNCTION("GOOGLETRANSLATE(C147,""en"",""ms"")"),"Disimpan")</f>
        <v>Disimpan</v>
      </c>
    </row>
    <row r="148">
      <c r="A148" s="2" t="s">
        <v>348</v>
      </c>
      <c r="B148" s="2" t="s">
        <v>324</v>
      </c>
      <c r="C148" s="2" t="s">
        <v>349</v>
      </c>
      <c r="D148" s="3"/>
      <c r="E148" s="3" t="str">
        <f>IFERROR(__xludf.DUMMYFUNCTION("GOOGLETRANSLATE(C148,""en"",""zh-CN"")"),"扔掉它，重新开始。")</f>
        <v>扔掉它，重新开始。</v>
      </c>
      <c r="F148" s="3" t="str">
        <f>IFERROR(__xludf.DUMMYFUNCTION("GOOGLETRANSLATE(C148,""en"",""ms"")"),"Buang dan mulakan semula")</f>
        <v>Buang dan mulakan semula</v>
      </c>
    </row>
    <row r="149">
      <c r="A149" s="2" t="s">
        <v>350</v>
      </c>
      <c r="B149" s="2" t="s">
        <v>324</v>
      </c>
      <c r="C149" s="2" t="s">
        <v>351</v>
      </c>
      <c r="D149" s="3"/>
      <c r="E149" s="3" t="str">
        <f>IFERROR(__xludf.DUMMYFUNCTION("GOOGLETRANSLATE(C149,""en"",""zh-CN"")"),"留着它")</f>
        <v>留着它</v>
      </c>
      <c r="F149" s="3" t="str">
        <f>IFERROR(__xludf.DUMMYFUNCTION("GOOGLETRANSLATE(C149,""en"",""ms"")"),"Simpan ia")</f>
        <v>Simpan ia</v>
      </c>
    </row>
    <row r="150">
      <c r="A150" s="2" t="s">
        <v>352</v>
      </c>
      <c r="B150" s="2" t="s">
        <v>324</v>
      </c>
      <c r="C150" s="2" t="s">
        <v>353</v>
      </c>
      <c r="D150" s="3"/>
      <c r="E150" s="3" t="str">
        <f>IFERROR(__xludf.DUMMYFUNCTION("GOOGLETRANSLATE(C150,""en"",""zh-CN"")"),"视频录制期间已锁定。")</f>
        <v>视频录制期间已锁定。</v>
      </c>
      <c r="F150" s="3" t="str">
        <f>IFERROR(__xludf.DUMMYFUNCTION("GOOGLETRANSLATE(C150,""en"",""ms"")"),"Dikunci semasa video anda sedang dibuat.")</f>
        <v>Dikunci semasa video anda sedang dibuat.</v>
      </c>
    </row>
    <row r="151">
      <c r="A151" s="2" t="s">
        <v>354</v>
      </c>
      <c r="B151" s="2" t="s">
        <v>324</v>
      </c>
      <c r="C151" s="2" t="s">
        <v>355</v>
      </c>
      <c r="D151" s="3"/>
      <c r="E151" s="3" t="str">
        <f>IFERROR(__xludf.DUMMYFUNCTION("GOOGLETRANSLATE(C151,""en"",""zh-CN"")"),"视频保存期间已锁定。")</f>
        <v>视频保存期间已锁定。</v>
      </c>
      <c r="F151" s="3" t="str">
        <f>IFERROR(__xludf.DUMMYFUNCTION("GOOGLETRANSLATE(C151,""en"",""ms"")"),"Dikunci semasa video anda disimpan.")</f>
        <v>Dikunci semasa video anda disimpan.</v>
      </c>
    </row>
    <row r="152">
      <c r="A152" s="2" t="s">
        <v>356</v>
      </c>
      <c r="B152" s="2" t="s">
        <v>357</v>
      </c>
      <c r="C152" s="2" t="s">
        <v>358</v>
      </c>
      <c r="D152" s="3"/>
      <c r="E152" s="3" t="str">
        <f>IFERROR(__xludf.DUMMYFUNCTION("GOOGLETRANSLATE(C152,""en"",""zh-CN"")"),"正在将此视频与您的设备进行比对……")</f>
        <v>正在将此视频与您的设备进行比对……</v>
      </c>
      <c r="F152" s="3" t="str">
        <f>IFERROR(__xludf.DUMMYFUNCTION("GOOGLETRANSLATE(C152,""en"",""ms"")"),"Menyemak video ini pada peranti anda…")</f>
        <v>Menyemak video ini pada peranti anda…</v>
      </c>
    </row>
    <row r="153">
      <c r="A153" s="2" t="s">
        <v>359</v>
      </c>
      <c r="B153" s="2" t="s">
        <v>357</v>
      </c>
      <c r="C153" s="2" t="s">
        <v>360</v>
      </c>
      <c r="D153" s="3"/>
      <c r="E153" s="3" t="str">
        <f>IFERROR(__xludf.DUMMYFUNCTION("GOOGLETRANSLATE(C153,""en"",""zh-CN"")"),"检查已停止。")</f>
        <v>检查已停止。</v>
      </c>
      <c r="F153" s="3" t="str">
        <f>IFERROR(__xludf.DUMMYFUNCTION("GOOGLETRANSLATE(C153,""en"",""ms"")"),"Semakan dihentikan.")</f>
        <v>Semakan dihentikan.</v>
      </c>
    </row>
    <row r="154">
      <c r="A154" s="2" t="s">
        <v>361</v>
      </c>
      <c r="B154" s="2" t="s">
        <v>357</v>
      </c>
      <c r="C154" s="2" t="s">
        <v>362</v>
      </c>
      <c r="D154" s="3"/>
      <c r="E154" s="3" t="str">
        <f>IFERROR(__xludf.DUMMYFUNCTION("GOOGLETRANSLATE(C154,""en"",""zh-CN"")"),"停止保存……")</f>
        <v>停止保存……</v>
      </c>
      <c r="F154" s="3" t="str">
        <f>IFERROR(__xludf.DUMMYFUNCTION("GOOGLETRANSLATE(C154,""en"",""ms"")"),"Menghentikan penyimpanan…")</f>
        <v>Menghentikan penyimpanan…</v>
      </c>
    </row>
    <row r="155">
      <c r="A155" s="2" t="s">
        <v>363</v>
      </c>
      <c r="B155" s="2" t="s">
        <v>357</v>
      </c>
      <c r="C155" s="2" t="s">
        <v>364</v>
      </c>
      <c r="D155" s="3"/>
      <c r="E155" s="3" t="str">
        <f>IFERROR(__xludf.DUMMYFUNCTION("GOOGLETRANSLATE(C155,""en"",""zh-CN"")"),"正在取消…")</f>
        <v>正在取消…</v>
      </c>
      <c r="F155" s="3" t="str">
        <f>IFERROR(__xludf.DUMMYFUNCTION("GOOGLETRANSLATE(C155,""en"",""ms"")"),"Membatalkan…")</f>
        <v>Membatalkan…</v>
      </c>
    </row>
    <row r="156">
      <c r="A156" s="2" t="s">
        <v>365</v>
      </c>
      <c r="B156" s="2" t="s">
        <v>357</v>
      </c>
      <c r="C156" s="2" t="s">
        <v>366</v>
      </c>
      <c r="D156" s="3"/>
      <c r="E156" s="3" t="str">
        <f>IFERROR(__xludf.DUMMYFUNCTION("GOOGLETRANSLATE(C156,""en"",""zh-CN"")"),"已取消。未保存任何内容，您的原始文件保持不变。")</f>
        <v>已取消。未保存任何内容，您的原始文件保持不变。</v>
      </c>
      <c r="F156" s="3" t="str">
        <f>IFERROR(__xludf.DUMMYFUNCTION("GOOGLETRANSLATE(C156,""en"",""ms"")"),"Dibatalkan. Tiada apa yang disimpan dan fail asal anda tidak berubah.")</f>
        <v>Dibatalkan. Tiada apa yang disimpan dan fail asal anda tidak berubah.</v>
      </c>
    </row>
    <row r="157">
      <c r="A157" s="2" t="s">
        <v>367</v>
      </c>
      <c r="B157" s="2" t="s">
        <v>357</v>
      </c>
      <c r="C157" s="2" t="s">
        <v>368</v>
      </c>
      <c r="D157" s="3"/>
      <c r="E157" s="3" t="str">
        <f>IFERROR(__xludf.DUMMYFUNCTION("GOOGLETRANSLATE(C157,""en"",""zh-CN"")"),"保存…")</f>
        <v>保存…</v>
      </c>
      <c r="F157" s="3" t="str">
        <f>IFERROR(__xludf.DUMMYFUNCTION("GOOGLETRANSLATE(C157,""en"",""ms"")"),"Menyimpan…")</f>
        <v>Menyimpan…</v>
      </c>
    </row>
    <row r="158">
      <c r="A158" s="2" t="s">
        <v>369</v>
      </c>
      <c r="B158" s="2" t="s">
        <v>357</v>
      </c>
      <c r="C158" s="2" t="s">
        <v>370</v>
      </c>
      <c r="D158" s="3"/>
      <c r="E158" s="3" t="str">
        <f>IFERROR(__xludf.DUMMYFUNCTION("GOOGLETRANSLATE(C158,""en"",""zh-CN"")"),"保存已停止。视频仍然在这里，您可以随时观看。")</f>
        <v>保存已停止。视频仍然在这里，您可以随时观看。</v>
      </c>
      <c r="F158" s="3" t="str">
        <f>IFERROR(__xludf.DUMMYFUNCTION("GOOGLETRANSLATE(C158,""en"",""ms"")"),"Simpanan dihentikan. Video masih ada di sini apabila anda mahukannya.")</f>
        <v>Simpanan dihentikan. Video masih ada di sini apabila anda mahukannya.</v>
      </c>
    </row>
    <row r="159">
      <c r="A159" s="2" t="s">
        <v>371</v>
      </c>
      <c r="B159" s="2" t="s">
        <v>357</v>
      </c>
      <c r="C159" s="2" t="s">
        <v>372</v>
      </c>
      <c r="D159" s="3"/>
      <c r="E159" s="3" t="str">
        <f>IFERROR(__xludf.DUMMYFUNCTION("GOOGLETRANSLATE(C159,""en"",""zh-CN"")"),"未保存。视频仍然在这里，您可以随时观看。")</f>
        <v>未保存。视频仍然在这里，您可以随时观看。</v>
      </c>
      <c r="F159" s="3" t="str">
        <f>IFERROR(__xludf.DUMMYFUNCTION("GOOGLETRANSLATE(C159,""en"",""ms"")"),"Tidak disimpan. Video itu masih ada di sini apabila anda mahukannya.")</f>
        <v>Tidak disimpan. Video itu masih ada di sini apabila anda mahukannya.</v>
      </c>
    </row>
    <row r="160">
      <c r="A160" s="2" t="s">
        <v>373</v>
      </c>
      <c r="B160" s="2" t="s">
        <v>357</v>
      </c>
      <c r="C160" s="2" t="s">
        <v>374</v>
      </c>
      <c r="D160" s="3"/>
      <c r="E160" s="3" t="str">
        <f>IFERROR(__xludf.DUMMYFUNCTION("GOOGLETRANSLATE(C160,""en"",""zh-CN"")"),"这就是你最初使用的文件。选择不同的名称或文件夹——此工具绝不会更改你的原始文件。")</f>
        <v>这就是你最初使用的文件。选择不同的名称或文件夹——此工具绝不会更改你的原始文件。</v>
      </c>
      <c r="F160" s="3" t="str">
        <f>IFERROR(__xludf.DUMMYFUNCTION("GOOGLETRANSLATE(C160,""en"",""ms"")"),"Itulah fail yang anda gunakan untuk bermula. Pilih nama atau folder yang berbeza — alat ini tidak akan mengubah fail asal anda.")</f>
        <v>Itulah fail yang anda gunakan untuk bermula. Pilih nama atau folder yang berbeza — alat ini tidak akan mengubah fail asal anda.</v>
      </c>
    </row>
    <row r="161">
      <c r="A161" s="2" t="s">
        <v>375</v>
      </c>
      <c r="B161" s="2" t="s">
        <v>357</v>
      </c>
      <c r="C161" s="2" t="s">
        <v>376</v>
      </c>
      <c r="D161" s="3"/>
      <c r="E161" s="3" t="str">
        <f>IFERROR(__xludf.DUMMYFUNCTION("GOOGLETRANSLATE(C161,""en"",""zh-CN"")"),"已保存。请检查保存位置，然后上传到目标位置——或者在步骤 1 中选择另一个视频。")</f>
        <v>已保存。请检查保存位置，然后上传到目标位置——或者在步骤 1 中选择另一个视频。</v>
      </c>
      <c r="F161" s="3" t="str">
        <f>IFERROR(__xludf.DUMMYFUNCTION("GOOGLETRANSLATE(C161,""en"",""ms"")"),"Disimpan. Tandakan di tempat anda menyimpannya, kemudian muat naik ke tempat ia disimpan — atau pilih video lain dalam langkah 1.")</f>
        <v>Disimpan. Tandakan di tempat anda menyimpannya, kemudian muat naik ke tempat ia disimpan — atau pilih video lain dalam langkah 1.</v>
      </c>
    </row>
    <row r="162">
      <c r="A162" s="2" t="s">
        <v>377</v>
      </c>
      <c r="B162" s="2" t="s">
        <v>357</v>
      </c>
      <c r="C162" s="2" t="s">
        <v>378</v>
      </c>
      <c r="D162" s="3"/>
      <c r="E162" s="3" t="str">
        <f>IFERROR(__xludf.DUMMYFUNCTION("GOOGLETRANSLATE(C162,""en"",""zh-CN"")"),"视频保存失败。您可以再次尝试保存。")</f>
        <v>视频保存失败。您可以再次尝试保存。</v>
      </c>
      <c r="F162" s="3" t="str">
        <f>IFERROR(__xludf.DUMMYFUNCTION("GOOGLETRANSLATE(C162,""en"",""ms"")"),"Video itu tidak dapat disimpan. Ia masih di sini untuk dicuba lagi.")</f>
        <v>Video itu tidak dapat disimpan. Ia masih di sini untuk dicuba lagi.</v>
      </c>
    </row>
    <row r="163">
      <c r="A163" s="2" t="s">
        <v>379</v>
      </c>
      <c r="B163" s="2" t="s">
        <v>357</v>
      </c>
      <c r="C163" s="2" t="s">
        <v>380</v>
      </c>
      <c r="D163" s="2" t="s">
        <v>381</v>
      </c>
      <c r="E163" s="3" t="str">
        <f>IFERROR(__xludf.DUMMYFUNCTION("GOOGLETRANSLATE(C163,""en"",""zh-CN"")"),"减少视频长度，选择“较小”，或者释放一些空间，然后再次按“检查”。")</f>
        <v>减少视频长度，选择“较小”，或者释放一些空间，然后再次按“检查”。</v>
      </c>
      <c r="F163" s="3" t="str">
        <f>IFERROR(__xludf.DUMMYFUNCTION("GOOGLETRANSLATE(C163,""en"",""ms"")"),"Kurangkan video, pilih {smaller} atau kosongkan sedikit ruang, kemudian tekan Semak sekali lagi.")</f>
        <v>Kurangkan video, pilih {smaller} atau kosongkan sedikit ruang, kemudian tekan Semak sekali lagi.</v>
      </c>
    </row>
    <row r="164">
      <c r="A164" s="2" t="s">
        <v>382</v>
      </c>
      <c r="B164" s="2" t="s">
        <v>357</v>
      </c>
      <c r="C164" s="2" t="s">
        <v>383</v>
      </c>
      <c r="D164" s="2" t="s">
        <v>384</v>
      </c>
      <c r="E164" s="3" t="str">
        <f>IFERROR(__xludf.DUMMYFUNCTION("GOOGLETRANSLATE(C164,""en"",""zh-CN"")"),"正在创建视频。{notice}")</f>
        <v>正在创建视频。{notice}</v>
      </c>
      <c r="F164" s="3" t="str">
        <f>IFERROR(__xludf.DUMMYFUNCTION("GOOGLETRANSLATE(C164,""en"",""ms"")"),"Mencipta video anda. {notis}")</f>
        <v>Mencipta video anda. {notis}</v>
      </c>
    </row>
    <row r="165">
      <c r="A165" s="2" t="s">
        <v>385</v>
      </c>
      <c r="B165" s="2" t="s">
        <v>357</v>
      </c>
      <c r="C165" s="2" t="s">
        <v>386</v>
      </c>
      <c r="D165" s="3"/>
      <c r="E165" s="3" t="str">
        <f>IFERROR(__xludf.DUMMYFUNCTION("GOOGLETRANSLATE(C165,""en"",""zh-CN"")"),"您的视频已准备就绪。")</f>
        <v>您的视频已准备就绪。</v>
      </c>
      <c r="F165" s="3" t="str">
        <f>IFERROR(__xludf.DUMMYFUNCTION("GOOGLETRANSLATE(C165,""en"",""ms"")"),"Video anda sudah siap.")</f>
        <v>Video anda sudah siap.</v>
      </c>
    </row>
    <row r="166">
      <c r="A166" s="2" t="s">
        <v>387</v>
      </c>
      <c r="B166" s="2" t="s">
        <v>357</v>
      </c>
      <c r="C166" s="2" t="s">
        <v>388</v>
      </c>
      <c r="D166" s="2" t="s">
        <v>389</v>
      </c>
      <c r="E166" s="3" t="str">
        <f>IFERROR(__xludf.DUMMYFUNCTION("GOOGLETRANSLATE(C166,""en"",""zh-CN"")"),"视频无法创建。")</f>
        <v>视频无法创建。</v>
      </c>
      <c r="F166" s="3" t="str">
        <f>IFERROR(__xludf.DUMMYFUNCTION("GOOGLETRANSLATE(C166,""en"",""ms"")"),"Video itu tidak dapat dihasilkan. {ayat}")</f>
        <v>Video itu tidak dapat dihasilkan. {ayat}</v>
      </c>
    </row>
    <row r="167">
      <c r="A167" s="2" t="s">
        <v>390</v>
      </c>
      <c r="B167" s="2" t="s">
        <v>391</v>
      </c>
      <c r="C167" s="2" t="s">
        <v>392</v>
      </c>
      <c r="D167" s="2" t="s">
        <v>393</v>
      </c>
      <c r="E167" s="3" t="str">
        <f>IFERROR(__xludf.DUMMYFUNCTION("GOOGLETRANSLATE(C167,""en"",""zh-CN"")"),"设备检查完成。{标题}")</f>
        <v>设备检查完成。{标题}</v>
      </c>
      <c r="F167" s="3" t="str">
        <f>IFERROR(__xludf.DUMMYFUNCTION("GOOGLETRANSLATE(C167,""en"",""ms"")"),"Pemeriksaan peranti selesai. {heading}.")</f>
        <v>Pemeriksaan peranti selesai. {heading}.</v>
      </c>
    </row>
    <row r="168">
      <c r="A168" s="2" t="s">
        <v>394</v>
      </c>
      <c r="B168" s="2" t="s">
        <v>395</v>
      </c>
      <c r="C168" s="2" t="s">
        <v>396</v>
      </c>
      <c r="D168" s="3"/>
      <c r="E168" s="3" t="str">
        <f>IFERROR(__xludf.DUMMYFUNCTION("GOOGLETRANSLATE(C168,""en"",""zh-CN"")"),"此视频尚未保存。")</f>
        <v>此视频尚未保存。</v>
      </c>
      <c r="F168" s="3" t="str">
        <f>IFERROR(__xludf.DUMMYFUNCTION("GOOGLETRANSLATE(C168,""en"",""ms"")"),"Video ini belum disimpan lagi")</f>
        <v>Video ini belum disimpan lagi</v>
      </c>
    </row>
    <row r="169">
      <c r="A169" s="2" t="s">
        <v>397</v>
      </c>
      <c r="B169" s="2" t="s">
        <v>395</v>
      </c>
      <c r="C169" s="2" t="s">
        <v>398</v>
      </c>
      <c r="D169" s="3"/>
      <c r="E169" s="3" t="str">
        <f>IFERROR(__xludf.DUMMYFUNCTION("GOOGLETRANSLATE(C169,""en"",""zh-CN"")"),"您的下载可能仍在进行中。重新开始下载将会丢弃您刚刚制作的视频。")</f>
        <v>您的下载可能仍在进行中。重新开始下载将会丢弃您刚刚制作的视频。</v>
      </c>
      <c r="F169" s="3" t="str">
        <f>IFERROR(__xludf.DUMMYFUNCTION("GOOGLETRANSLATE(C169,""en"",""ms"")"),"Muat turun anda mungkin masih dalam proses selesai. Memulakan semula akan membuang video yang baru anda buat.")</f>
        <v>Muat turun anda mungkin masih dalam proses selesai. Memulakan semula akan membuang video yang baru anda buat.</v>
      </c>
    </row>
    <row r="170">
      <c r="A170" s="2" t="s">
        <v>399</v>
      </c>
      <c r="B170" s="2" t="s">
        <v>395</v>
      </c>
      <c r="C170" s="2" t="s">
        <v>400</v>
      </c>
      <c r="D170" s="3"/>
      <c r="E170" s="3" t="str">
        <f>IFERROR(__xludf.DUMMYFUNCTION("GOOGLETRANSLATE(C170,""en"",""zh-CN"")"),"您尚未保存刚刚制作的视频。重新开始将会丢弃它。")</f>
        <v>您尚未保存刚刚制作的视频。重新开始将会丢弃它。</v>
      </c>
      <c r="F170" s="3" t="str">
        <f>IFERROR(__xludf.DUMMYFUNCTION("GOOGLETRANSLATE(C170,""en"",""ms"")"),"Anda belum menyimpan video yang baru anda buat. Memulakan semula akan membuangnya.")</f>
        <v>Anda belum menyimpan video yang baru anda buat. Memulakan semula akan membuangnya.</v>
      </c>
    </row>
    <row r="171">
      <c r="A171" s="2" t="s">
        <v>401</v>
      </c>
      <c r="B171" s="2" t="s">
        <v>402</v>
      </c>
      <c r="C171" s="2" t="s">
        <v>403</v>
      </c>
      <c r="D171" s="2" t="s">
        <v>404</v>
      </c>
      <c r="E171" s="3" t="str">
        <f>IFERROR(__xludf.DUMMYFUNCTION("GOOGLETRANSLATE(C171,""en"",""zh-CN"")"),"此视频尚未保存。{问题}")</f>
        <v>此视频尚未保存。{问题}</v>
      </c>
      <c r="F171" s="3" t="str">
        <f>IFERROR(__xludf.DUMMYFUNCTION("GOOGLETRANSLATE(C171,""en"",""ms"")"),"Video ini belum disimpan lagi. {soalan}")</f>
        <v>Video ini belum disimpan lagi. {soalan}</v>
      </c>
    </row>
    <row r="172">
      <c r="A172" s="2" t="s">
        <v>405</v>
      </c>
      <c r="B172" s="2" t="s">
        <v>406</v>
      </c>
      <c r="C172" s="2" t="s">
        <v>407</v>
      </c>
      <c r="D172" s="2" t="s">
        <v>408</v>
      </c>
      <c r="E172" s="3" t="str">
        <f>IFERROR(__xludf.DUMMYFUNCTION("GOOGLETRANSLATE(C172,""en"",""zh-CN"")"),"完成的视频 — {size}")</f>
        <v>完成的视频 — {size}</v>
      </c>
      <c r="F172" s="3" t="str">
        <f>IFERROR(__xludf.DUMMYFUNCTION("GOOGLETRANSLATE(C172,""en"",""ms"")"),"Video siap — {size}")</f>
        <v>Video siap — {size}</v>
      </c>
    </row>
    <row r="173">
      <c r="A173" s="2" t="s">
        <v>409</v>
      </c>
      <c r="B173" s="2" t="s">
        <v>406</v>
      </c>
      <c r="C173" s="2" t="s">
        <v>410</v>
      </c>
      <c r="D173" s="2" t="s">
        <v>408</v>
      </c>
      <c r="E173" s="3" t="str">
        <f>IFERROR(__xludf.DUMMYFUNCTION("GOOGLETRANSLATE(C173,""en"",""zh-CN"")"),"上一个视频 — {size}")</f>
        <v>上一个视频 — {size}</v>
      </c>
      <c r="F173" s="3" t="str">
        <f>IFERROR(__xludf.DUMMYFUNCTION("GOOGLETRANSLATE(C173,""en"",""ms"")"),"Video sebelumnya — {size}")</f>
        <v>Video sebelumnya — {size}</v>
      </c>
    </row>
    <row r="174">
      <c r="A174" s="2" t="s">
        <v>411</v>
      </c>
      <c r="B174" s="2" t="s">
        <v>406</v>
      </c>
      <c r="C174" s="2" t="s">
        <v>412</v>
      </c>
      <c r="D174" s="3"/>
      <c r="E174" s="3" t="str">
        <f>IFERROR(__xludf.DUMMYFUNCTION("GOOGLETRANSLATE(C174,""en"",""zh-CN"")"),"它只会保留在这里，直到您保存或关闭此标签页。")</f>
        <v>它只会保留在这里，直到您保存或关闭此标签页。</v>
      </c>
      <c r="F174" s="3" t="str">
        <f>IFERROR(__xludf.DUMMYFUNCTION("GOOGLETRANSLATE(C174,""en"",""ms"")"),"Ia disimpan di sini hanya sehingga anda menyimpannya atau menutup tab ini.")</f>
        <v>Ia disimpan di sini hanya sehingga anda menyimpannya atau menutup tab ini.</v>
      </c>
    </row>
    <row r="175">
      <c r="A175" s="2" t="s">
        <v>413</v>
      </c>
      <c r="B175" s="2" t="s">
        <v>406</v>
      </c>
      <c r="C175" s="2" t="s">
        <v>414</v>
      </c>
      <c r="D175" s="3"/>
      <c r="E175" s="3" t="str">
        <f>IFERROR(__xludf.DUMMYFUNCTION("GOOGLETRANSLATE(C175,""en"",""zh-CN"")"),"它会一直显示在这里，直到你开始播放另一个视频或关闭此标签页。")</f>
        <v>它会一直显示在这里，直到你开始播放另一个视频或关闭此标签页。</v>
      </c>
      <c r="F175" s="3" t="str">
        <f>IFERROR(__xludf.DUMMYFUNCTION("GOOGLETRANSLATE(C175,""en"",""ms"")"),"Ia kekal di sini sehingga anda memulakan video lain atau menutup tab ini.")</f>
        <v>Ia kekal di sini sehingga anda memulakan video lain atau menutup tab ini.</v>
      </c>
    </row>
    <row r="176">
      <c r="A176" s="2" t="s">
        <v>415</v>
      </c>
      <c r="B176" s="2" t="s">
        <v>406</v>
      </c>
      <c r="C176" s="2" t="s">
        <v>416</v>
      </c>
      <c r="D176" s="2" t="s">
        <v>203</v>
      </c>
      <c r="E176" s="3" t="str">
        <f>IFERROR(__xludf.DUMMYFUNCTION("GOOGLETRANSLATE(C176,""en"",""zh-CN"")"),"完整视频（{时长}）")</f>
        <v>完整视频（{时长}）</v>
      </c>
      <c r="F176" s="3" t="str">
        <f>IFERROR(__xludf.DUMMYFUNCTION("GOOGLETRANSLATE(C176,""en"",""ms"")"),"keseluruhan video ({duration})")</f>
        <v>keseluruhan video ({duration})</v>
      </c>
    </row>
    <row r="177">
      <c r="A177" s="2" t="s">
        <v>417</v>
      </c>
      <c r="B177" s="2" t="s">
        <v>406</v>
      </c>
      <c r="C177" s="2" t="s">
        <v>418</v>
      </c>
      <c r="D177" s="2" t="s">
        <v>419</v>
      </c>
      <c r="E177" s="3" t="str">
        <f>IFERROR(__xludf.DUMMYFUNCTION("GOOGLETRANSLATE(C177,""en"",""zh-CN"")"),"保留了 {持续时间}，从 {从} 到 {到}")</f>
        <v>保留了 {持续时间}，从 {从} 到 {到}</v>
      </c>
      <c r="F177" s="3" t="str">
        <f>IFERROR(__xludf.DUMMYFUNCTION("GOOGLETRANSLATE(C177,""en"",""ms"")"),"{disimpan} selama {durasi}, dari {dari} hingga {kepada}")</f>
        <v>{disimpan} selama {durasi}, dari {dari} hingga {kepada}</v>
      </c>
    </row>
    <row r="178">
      <c r="A178" s="2" t="s">
        <v>420</v>
      </c>
      <c r="B178" s="2" t="s">
        <v>406</v>
      </c>
      <c r="C178" s="2" t="s">
        <v>421</v>
      </c>
      <c r="D178" s="3"/>
      <c r="E178" s="3" t="str">
        <f>IFERROR(__xludf.DUMMYFUNCTION("GOOGLETRANSLATE(C178,""en"",""zh-CN"")"),"大学不会关闭")</f>
        <v>大学不会关闭</v>
      </c>
      <c r="F178" s="3" t="str">
        <f>IFERROR(__xludf.DUMMYFUNCTION("GOOGLETRANSLATE(C178,""en"",""ms"")"),"tiada penutupan Universiti")</f>
        <v>tiada penutupan Universiti</v>
      </c>
    </row>
    <row r="179">
      <c r="A179" s="2" t="s">
        <v>422</v>
      </c>
      <c r="B179" s="2" t="s">
        <v>406</v>
      </c>
      <c r="C179" s="2" t="s">
        <v>423</v>
      </c>
      <c r="D179" s="2" t="s">
        <v>268</v>
      </c>
      <c r="E179" s="3" t="str">
        <f>IFERROR(__xludf.DUMMYFUNCTION("GOOGLETRANSLATE(C179,""en"",""zh-CN"")"),"镜头切换到蓝色结束卡")</f>
        <v>镜头切换到蓝色结束卡</v>
      </c>
      <c r="F179" s="3" t="str">
        <f>IFERROR(__xludf.DUMMYFUNCTION("GOOGLETRANSLATE(C179,""en"",""ms"")"),"potongan kepada kad penutup biru")</f>
        <v>potongan kepada kad penutup biru</v>
      </c>
    </row>
    <row r="180">
      <c r="A180" s="2" t="s">
        <v>424</v>
      </c>
      <c r="B180" s="2" t="s">
        <v>406</v>
      </c>
      <c r="C180" s="2" t="s">
        <v>425</v>
      </c>
      <c r="D180" s="2" t="s">
        <v>271</v>
      </c>
      <c r="E180" s="3" t="str">
        <f>IFERROR(__xludf.DUMMYFUNCTION("GOOGLETRANSLATE(C180,""en"",""zh-CN"")"),"切到白色结束卡")</f>
        <v>切到白色结束卡</v>
      </c>
      <c r="F180" s="3" t="str">
        <f>IFERROR(__xludf.DUMMYFUNCTION("GOOGLETRANSLATE(C180,""en"",""ms"")"),"potongan pada kad penutup putih")</f>
        <v>potongan pada kad penutup putih</v>
      </c>
    </row>
    <row r="181">
      <c r="A181" s="2" t="s">
        <v>426</v>
      </c>
      <c r="B181" s="2" t="s">
        <v>406</v>
      </c>
      <c r="C181" s="2" t="s">
        <v>427</v>
      </c>
      <c r="D181" s="2" t="s">
        <v>428</v>
      </c>
      <c r="E181" s="3" t="str">
        <f>IFERROR(__xludf.DUMMYFUNCTION("GOOGLETRANSLATE(C181,""en"",""zh-CN"")"),"蓝色的结尾逐渐淡入，覆盖了最后一帧画面。")</f>
        <v>蓝色的结尾逐渐淡入，覆盖了最后一帧画面。</v>
      </c>
      <c r="F181" s="3" t="str">
        <f>IFERROR(__xludf.DUMMYFUNCTION("GOOGLETRANSLATE(C181,""en"",""ms"")"),"penutupan biru semakin pudar di atas bingkai terakhir yang ditahan")</f>
        <v>penutupan biru semakin pudar di atas bingkai terakhir yang ditahan</v>
      </c>
    </row>
    <row r="182">
      <c r="A182" s="2" t="s">
        <v>429</v>
      </c>
      <c r="B182" s="2" t="s">
        <v>406</v>
      </c>
      <c r="C182" s="2" t="s">
        <v>430</v>
      </c>
      <c r="D182" s="2" t="s">
        <v>431</v>
      </c>
      <c r="E182" s="3" t="str">
        <f>IFERROR(__xludf.DUMMYFUNCTION("GOOGLETRANSLATE(C182,""en"",""zh-CN"")"),"蓝色的闭合滑入到最后一帧画面中")</f>
        <v>蓝色的闭合滑入到最后一帧画面中</v>
      </c>
      <c r="F182" s="3" t="str">
        <f>IFERROR(__xludf.DUMMYFUNCTION("GOOGLETRANSLATE(C182,""en"",""ms"")"),"penutupan biru meluncur masuk ke atas bingkai terakhir yang dipegang")</f>
        <v>penutupan biru meluncur masuk ke atas bingkai terakhir yang dipegang</v>
      </c>
    </row>
    <row r="183">
      <c r="A183" s="2" t="s">
        <v>432</v>
      </c>
      <c r="B183" s="2" t="s">
        <v>406</v>
      </c>
      <c r="C183" s="2" t="s">
        <v>433</v>
      </c>
      <c r="D183" s="2" t="s">
        <v>434</v>
      </c>
      <c r="E183" s="3" t="str">
        <f>IFERROR(__xludf.DUMMYFUNCTION("GOOGLETRANSLATE(C183,""en"",""zh-CN"")"),"白色画面逐渐淡入，覆盖了最后一帧。")</f>
        <v>白色画面逐渐淡入，覆盖了最后一帧。</v>
      </c>
      <c r="F183" s="3" t="str">
        <f>IFERROR(__xludf.DUMMYFUNCTION("GOOGLETRANSLATE(C183,""en"",""ms"")"),"penutupan putih semakin pudar di atas bingkai terakhir yang dipegang")</f>
        <v>penutupan putih semakin pudar di atas bingkai terakhir yang dipegang</v>
      </c>
    </row>
    <row r="184">
      <c r="A184" s="2" t="s">
        <v>435</v>
      </c>
      <c r="B184" s="2" t="s">
        <v>406</v>
      </c>
      <c r="C184" s="2" t="s">
        <v>436</v>
      </c>
      <c r="D184" s="2" t="s">
        <v>437</v>
      </c>
      <c r="E184" s="3" t="str">
        <f>IFERROR(__xludf.DUMMYFUNCTION("GOOGLETRANSLATE(C184,""en"",""zh-CN"")"),"白色闭幕滑入，覆盖了最后一帧画面。")</f>
        <v>白色闭幕滑入，覆盖了最后一帧画面。</v>
      </c>
      <c r="F184" s="3" t="str">
        <f>IFERROR(__xludf.DUMMYFUNCTION("GOOGLETRANSLATE(C184,""en"",""ms"")"),"penutup putih meluncur masuk ke atas bingkai terakhir yang dipegang")</f>
        <v>penutup putih meluncur masuk ke atas bingkai terakhir yang dipegang</v>
      </c>
    </row>
    <row r="185">
      <c r="A185" s="2" t="s">
        <v>438</v>
      </c>
      <c r="B185" s="2" t="s">
        <v>406</v>
      </c>
      <c r="C185" s="2" t="s">
        <v>439</v>
      </c>
      <c r="D185" s="2" t="s">
        <v>428</v>
      </c>
      <c r="E185" s="3" t="str">
        <f>IFERROR(__xludf.DUMMYFUNCTION("GOOGLETRANSLATE(C185,""en"",""zh-CN"")"),"蓝色的光芒渐渐笼罩了画面。")</f>
        <v>蓝色的光芒渐渐笼罩了画面。</v>
      </c>
      <c r="F185" s="3" t="str">
        <f>IFERROR(__xludf.DUMMYFUNCTION("GOOGLETRANSLATE(C185,""en"",""ms"")"),"penutup biru semakin pudar di atas gambar")</f>
        <v>penutup biru semakin pudar di atas gambar</v>
      </c>
    </row>
    <row r="186">
      <c r="A186" s="2" t="s">
        <v>440</v>
      </c>
      <c r="B186" s="2" t="s">
        <v>406</v>
      </c>
      <c r="C186" s="2" t="s">
        <v>441</v>
      </c>
      <c r="D186" s="2" t="s">
        <v>431</v>
      </c>
      <c r="E186" s="3" t="str">
        <f>IFERROR(__xludf.DUMMYFUNCTION("GOOGLETRANSLATE(C186,""en"",""zh-CN"")"),"蓝色的盖子滑入画面上方。")</f>
        <v>蓝色的盖子滑入画面上方。</v>
      </c>
      <c r="F186" s="3" t="str">
        <f>IFERROR(__xludf.DUMMYFUNCTION("GOOGLETRANSLATE(C186,""en"",""ms"")"),"penutup biru meluncur masuk ke atas gambar")</f>
        <v>penutup biru meluncur masuk ke atas gambar</v>
      </c>
    </row>
    <row r="187">
      <c r="A187" s="2" t="s">
        <v>442</v>
      </c>
      <c r="B187" s="2" t="s">
        <v>406</v>
      </c>
      <c r="C187" s="2" t="s">
        <v>443</v>
      </c>
      <c r="D187" s="2" t="s">
        <v>434</v>
      </c>
      <c r="E187" s="3" t="str">
        <f>IFERROR(__xludf.DUMMYFUNCTION("GOOGLETRANSLATE(C187,""en"",""zh-CN"")"),"白色逐渐淡入画面。")</f>
        <v>白色逐渐淡入画面。</v>
      </c>
      <c r="F187" s="3" t="str">
        <f>IFERROR(__xludf.DUMMYFUNCTION("GOOGLETRANSLATE(C187,""en"",""ms"")"),"penutup putih semakin pudar di atas gambar")</f>
        <v>penutup putih semakin pudar di atas gambar</v>
      </c>
    </row>
    <row r="188">
      <c r="A188" s="2" t="s">
        <v>444</v>
      </c>
      <c r="B188" s="2" t="s">
        <v>406</v>
      </c>
      <c r="C188" s="2" t="s">
        <v>445</v>
      </c>
      <c r="D188" s="2" t="s">
        <v>437</v>
      </c>
      <c r="E188" s="3" t="str">
        <f>IFERROR(__xludf.DUMMYFUNCTION("GOOGLETRANSLATE(C188,""en"",""zh-CN"")"),"白色盖子滑入画面上方。")</f>
        <v>白色盖子滑入画面上方。</v>
      </c>
      <c r="F188" s="3" t="str">
        <f>IFERROR(__xludf.DUMMYFUNCTION("GOOGLETRANSLATE(C188,""en"",""ms"")"),"penutup putih meluncur masuk ke atas gambar")</f>
        <v>penutup putih meluncur masuk ke atas gambar</v>
      </c>
    </row>
    <row r="189">
      <c r="A189" s="2" t="s">
        <v>446</v>
      </c>
      <c r="B189" s="2" t="s">
        <v>406</v>
      </c>
      <c r="C189" s="2" t="s">
        <v>447</v>
      </c>
      <c r="D189" s="2" t="s">
        <v>448</v>
      </c>
      <c r="E189" s="3" t="str">
        <f>IFERROR(__xludf.DUMMYFUNCTION("GOOGLETRANSLATE(C189,""en"",""zh-CN"")"),"由 {name} 构成：{part}、{output}、{closing}。")</f>
        <v>由 {name} 构成：{part}、{output}、{closing}。</v>
      </c>
      <c r="F189" s="3" t="str">
        <f>IFERROR(__xludf.DUMMYFUNCTION("GOOGLETRANSLATE(C189,""en"",""ms"")"),"Dibuat daripada {name}: {part}, {output}, {closing}.")</f>
        <v>Dibuat daripada {name}: {part}, {output}, {closing}.</v>
      </c>
    </row>
    <row r="190">
      <c r="A190" s="2" t="s">
        <v>449</v>
      </c>
      <c r="B190" s="2" t="s">
        <v>406</v>
      </c>
      <c r="C190" s="2" t="s">
        <v>450</v>
      </c>
      <c r="D190" s="3"/>
      <c r="E190" s="3" t="str">
        <f>IFERROR(__xludf.DUMMYFUNCTION("GOOGLETRANSLATE(C190,""en"",""zh-CN"")"),"由于结尾部分无法加载，因此未包含在视频中。其他所有步骤均已按要求完成。")</f>
        <v>由于结尾部分无法加载，因此未包含在视频中。其他所有步骤均已按要求完成。</v>
      </c>
      <c r="F190" s="3" t="str">
        <f>IFERROR(__xludf.DUMMYFUNCTION("GOOGLETRANSLATE(C190,""en"",""ms"")"),"Penutupan tidak dapat dimuatkan, jadi ia tiada dalam video ini. Semua yang lain telah digunakan seperti yang diminta.")</f>
        <v>Penutupan tidak dapat dimuatkan, jadi ia tiada dalam video ini. Semua yang lain telah digunakan seperti yang diminta.</v>
      </c>
    </row>
    <row r="191">
      <c r="A191" s="2" t="s">
        <v>451</v>
      </c>
      <c r="B191" s="2" t="s">
        <v>406</v>
      </c>
      <c r="C191" s="2" t="s">
        <v>452</v>
      </c>
      <c r="D191" s="2" t="s">
        <v>428</v>
      </c>
      <c r="E191" s="3" t="str">
        <f>IFERROR(__xludf.DUMMYFUNCTION("GOOGLETRANSLATE(C191,""en"",""zh-CN"")"),"您选择了淡入淡出效果，但动画无法加载，因此视频将切换到蓝色结束卡片。")</f>
        <v>您选择了淡入淡出效果，但动画无法加载，因此视频将切换到蓝色结束卡片。</v>
      </c>
      <c r="F191" s="3" t="str">
        <f>IFERROR(__xludf.DUMMYFUNCTION("GOOGLETRANSLATE(C191,""en"",""ms"")"),"Anda memilih Fade, tetapi animasi tidak dapat dimuatkan, jadi video ini dipotong ke kad penutup biru.")</f>
        <v>Anda memilih Fade, tetapi animasi tidak dapat dimuatkan, jadi video ini dipotong ke kad penutup biru.</v>
      </c>
    </row>
    <row r="192">
      <c r="A192" s="2" t="s">
        <v>453</v>
      </c>
      <c r="B192" s="2" t="s">
        <v>406</v>
      </c>
      <c r="C192" s="2" t="s">
        <v>454</v>
      </c>
      <c r="D192" s="2" t="s">
        <v>431</v>
      </c>
      <c r="E192" s="3" t="str">
        <f>IFERROR(__xludf.DUMMYFUNCTION("GOOGLETRANSLATE(C192,""en"",""zh-CN"")"),"您选择了幻灯片，但动画无法加载，因此视频将切换到蓝色结束卡片。")</f>
        <v>您选择了幻灯片，但动画无法加载，因此视频将切换到蓝色结束卡片。</v>
      </c>
      <c r="F192" s="3" t="str">
        <f>IFERROR(__xludf.DUMMYFUNCTION("GOOGLETRANSLATE(C192,""en"",""ms"")"),"Anda memilih Slaid, tetapi animasi tidak dapat dimuatkan, jadi video ini dipotong ke kad penutup biru.")</f>
        <v>Anda memilih Slaid, tetapi animasi tidak dapat dimuatkan, jadi video ini dipotong ke kad penutup biru.</v>
      </c>
    </row>
    <row r="193">
      <c r="A193" s="2" t="s">
        <v>455</v>
      </c>
      <c r="B193" s="2" t="s">
        <v>406</v>
      </c>
      <c r="C193" s="2" t="s">
        <v>456</v>
      </c>
      <c r="D193" s="2" t="s">
        <v>434</v>
      </c>
      <c r="E193" s="3" t="str">
        <f>IFERROR(__xludf.DUMMYFUNCTION("GOOGLETRANSLATE(C193,""en"",""zh-CN"")"),"您选择了淡入淡出效果，但动画无法加载，因此视频将切换到白色结束卡片。")</f>
        <v>您选择了淡入淡出效果，但动画无法加载，因此视频将切换到白色结束卡片。</v>
      </c>
      <c r="F193" s="3" t="str">
        <f>IFERROR(__xludf.DUMMYFUNCTION("GOOGLETRANSLATE(C193,""en"",""ms"")"),"Anda memilih Fade, tetapi animasi tidak dapat dimuatkan, jadi video ini dipotong ke kad penutup putih.")</f>
        <v>Anda memilih Fade, tetapi animasi tidak dapat dimuatkan, jadi video ini dipotong ke kad penutup putih.</v>
      </c>
    </row>
    <row r="194">
      <c r="A194" s="2" t="s">
        <v>457</v>
      </c>
      <c r="B194" s="2" t="s">
        <v>406</v>
      </c>
      <c r="C194" s="2" t="s">
        <v>458</v>
      </c>
      <c r="D194" s="2" t="s">
        <v>437</v>
      </c>
      <c r="E194" s="3" t="str">
        <f>IFERROR(__xludf.DUMMYFUNCTION("GOOGLETRANSLATE(C194,""en"",""zh-CN"")"),"您选择了幻灯片，但动画无法加载，因此视频将切换到白色结束卡片。")</f>
        <v>您选择了幻灯片，但动画无法加载，因此视频将切换到白色结束卡片。</v>
      </c>
      <c r="F194" s="3" t="str">
        <f>IFERROR(__xludf.DUMMYFUNCTION("GOOGLETRANSLATE(C194,""en"",""ms"")"),"Anda memilih Slaid, tetapi animasi tidak dapat dimuatkan, jadi video ini dipotong ke kad penutup putih.")</f>
        <v>Anda memilih Slaid, tetapi animasi tidak dapat dimuatkan, jadi video ini dipotong ke kad penutup putih.</v>
      </c>
    </row>
    <row r="195">
      <c r="A195" s="2" t="s">
        <v>459</v>
      </c>
      <c r="B195" s="2" t="s">
        <v>406</v>
      </c>
      <c r="C195" s="2" t="s">
        <v>460</v>
      </c>
      <c r="D195" s="2" t="s">
        <v>428</v>
      </c>
      <c r="E195" s="3" t="str">
        <f>IFERROR(__xludf.DUMMYFUNCTION("GOOGLETRANSLATE(C195,""en"",""zh-CN"")"),"您的视频时长短于淡入淡出动画。蓝色结尾效果是在保留的最后一帧上淡入，而不是在画面上淡入。")</f>
        <v>您的视频时长短于淡入淡出动画。蓝色结尾效果是在保留的最后一帧上淡入，而不是在画面上淡入。</v>
      </c>
      <c r="F195" s="3" t="str">
        <f>IFERROR(__xludf.DUMMYFUNCTION("GOOGLETRANSLATE(C195,""en"",""ms"")"),"Video anda lebih pendek daripada animasi pudar. Penutupan biru pudar di atas bingkai terakhir yang ditahan dan bukannya di atas gambar.")</f>
        <v>Video anda lebih pendek daripada animasi pudar. Penutupan biru pudar di atas bingkai terakhir yang ditahan dan bukannya di atas gambar.</v>
      </c>
    </row>
    <row r="196">
      <c r="A196" s="2" t="s">
        <v>461</v>
      </c>
      <c r="B196" s="2" t="s">
        <v>406</v>
      </c>
      <c r="C196" s="2" t="s">
        <v>462</v>
      </c>
      <c r="D196" s="2" t="s">
        <v>431</v>
      </c>
      <c r="E196" s="3" t="str">
        <f>IFERROR(__xludf.DUMMYFUNCTION("GOOGLETRANSLATE(C196,""en"",""zh-CN"")"),"您的视频比幻灯片动画短。蓝色的结尾动画不是滑入图片上方，而是滑入到最后一帧画面上方。")</f>
        <v>您的视频比幻灯片动画短。蓝色的结尾动画不是滑入图片上方，而是滑入到最后一帧画面上方。</v>
      </c>
      <c r="F196" s="3" t="str">
        <f>IFERROR(__xludf.DUMMYFUNCTION("GOOGLETRANSLATE(C196,""en"",""ms"")"),"Video anda lebih pendek daripada animasi slaid. Penutupan biru meluncur masuk ke atas bingkai terakhir yang ditahan dan bukannya ke atas gambar.")</f>
        <v>Video anda lebih pendek daripada animasi slaid. Penutupan biru meluncur masuk ke atas bingkai terakhir yang ditahan dan bukannya ke atas gambar.</v>
      </c>
    </row>
    <row r="197">
      <c r="A197" s="2" t="s">
        <v>463</v>
      </c>
      <c r="B197" s="2" t="s">
        <v>406</v>
      </c>
      <c r="C197" s="2" t="s">
        <v>464</v>
      </c>
      <c r="D197" s="2" t="s">
        <v>434</v>
      </c>
      <c r="E197" s="3" t="str">
        <f>IFERROR(__xludf.DUMMYFUNCTION("GOOGLETRANSLATE(C197,""en"",""zh-CN"")"),"您的视频时长短于淡入淡出动画。白色结尾动画是在最后一帧画面上淡入淡出，而不是在画面上淡入淡出。")</f>
        <v>您的视频时长短于淡入淡出动画。白色结尾动画是在最后一帧画面上淡入淡出，而不是在画面上淡入淡出。</v>
      </c>
      <c r="F197" s="3" t="str">
        <f>IFERROR(__xludf.DUMMYFUNCTION("GOOGLETRANSLATE(C197,""en"",""ms"")"),"Video anda lebih pendek daripada animasi pudar. Penutupan putih pudar di atas bingkai terakhir yang ditahan dan bukannya di atas gambar.")</f>
        <v>Video anda lebih pendek daripada animasi pudar. Penutupan putih pudar di atas bingkai terakhir yang ditahan dan bukannya di atas gambar.</v>
      </c>
    </row>
    <row r="198">
      <c r="A198" s="2" t="s">
        <v>465</v>
      </c>
      <c r="B198" s="2" t="s">
        <v>406</v>
      </c>
      <c r="C198" s="2" t="s">
        <v>466</v>
      </c>
      <c r="D198" s="2" t="s">
        <v>437</v>
      </c>
      <c r="E198" s="3" t="str">
        <f>IFERROR(__xludf.DUMMYFUNCTION("GOOGLETRANSLATE(C198,""en"",""zh-CN"")"),"您的视频比幻灯片动画短。白色的结尾动画不是覆盖在图片上，而是覆盖在最后一帧画面上。")</f>
        <v>您的视频比幻灯片动画短。白色的结尾动画不是覆盖在图片上，而是覆盖在最后一帧画面上。</v>
      </c>
      <c r="F198" s="3" t="str">
        <f>IFERROR(__xludf.DUMMYFUNCTION("GOOGLETRANSLATE(C198,""en"",""ms"")"),"Video anda lebih pendek daripada animasi slaid. Penutupan putih meluncur masuk ke atas bingkai terakhir yang ditahan dan bukannya ke atas gambar.")</f>
        <v>Video anda lebih pendek daripada animasi slaid. Penutupan putih meluncur masuk ke atas bingkai terakhir yang ditahan dan bukannya ke atas gambar.</v>
      </c>
    </row>
    <row r="199">
      <c r="A199" s="2" t="s">
        <v>467</v>
      </c>
      <c r="B199" s="2" t="s">
        <v>406</v>
      </c>
      <c r="C199" s="2" t="s">
        <v>468</v>
      </c>
      <c r="D199" s="2" t="s">
        <v>428</v>
      </c>
      <c r="E199" s="3" t="str">
        <f>IFERROR(__xludf.DUMMYFUNCTION("GOOGLETRANSLATE(C199,""en"",""zh-CN"")"),"蓝色的结尾部分会淡入画面，而不是像选择的那样淡入最后一帧画面。")</f>
        <v>蓝色的结尾部分会淡入画面，而不是像选择的那样淡入最后一帧画面。</v>
      </c>
      <c r="F199" s="3" t="str">
        <f>IFERROR(__xludf.DUMMYFUNCTION("GOOGLETRANSLATE(C199,""en"",""ms"")"),"Penutupan biru pudar di atas gambar, bukan di atas bingkai terakhir yang ditahan seperti yang dipilih.")</f>
        <v>Penutupan biru pudar di atas gambar, bukan di atas bingkai terakhir yang ditahan seperti yang dipilih.</v>
      </c>
    </row>
    <row r="200">
      <c r="A200" s="2" t="s">
        <v>469</v>
      </c>
      <c r="B200" s="2" t="s">
        <v>406</v>
      </c>
      <c r="C200" s="2" t="s">
        <v>470</v>
      </c>
      <c r="D200" s="2" t="s">
        <v>431</v>
      </c>
      <c r="E200" s="3" t="str">
        <f>IFERROR(__xludf.DUMMYFUNCTION("GOOGLETRANSLATE(C200,""en"",""zh-CN"")"),"蓝色的结尾部分会滑入画面上方，而不是像选择的那样滑入保留的最后一帧上方。")</f>
        <v>蓝色的结尾部分会滑入画面上方，而不是像选择的那样滑入保留的最后一帧上方。</v>
      </c>
      <c r="F200" s="3" t="str">
        <f>IFERROR(__xludf.DUMMYFUNCTION("GOOGLETRANSLATE(C200,""en"",""ms"")"),"Penutup biru meluncur masuk ke atas gambar, bukan ke atas bingkai terakhir yang ditahan seperti yang dipilih.")</f>
        <v>Penutup biru meluncur masuk ke atas gambar, bukan ke atas bingkai terakhir yang ditahan seperti yang dipilih.</v>
      </c>
    </row>
    <row r="201">
      <c r="A201" s="2" t="s">
        <v>471</v>
      </c>
      <c r="B201" s="2" t="s">
        <v>406</v>
      </c>
      <c r="C201" s="2" t="s">
        <v>472</v>
      </c>
      <c r="D201" s="2" t="s">
        <v>434</v>
      </c>
      <c r="E201" s="3" t="str">
        <f>IFERROR(__xludf.DUMMYFUNCTION("GOOGLETRANSLATE(C201,""en"",""zh-CN"")"),"白色结尾部分会淡入画面，而不是像选择的那样淡入最后一帧画面。")</f>
        <v>白色结尾部分会淡入画面，而不是像选择的那样淡入最后一帧画面。</v>
      </c>
      <c r="F201" s="3" t="str">
        <f>IFERROR(__xludf.DUMMYFUNCTION("GOOGLETRANSLATE(C201,""en"",""ms"")"),"Penutupan putih pudar di atas gambar, bukan di atas bingkai terakhir yang dipegang seperti yang dipilih.")</f>
        <v>Penutupan putih pudar di atas gambar, bukan di atas bingkai terakhir yang dipegang seperti yang dipilih.</v>
      </c>
    </row>
    <row r="202">
      <c r="A202" s="2" t="s">
        <v>473</v>
      </c>
      <c r="B202" s="2" t="s">
        <v>406</v>
      </c>
      <c r="C202" s="2" t="s">
        <v>474</v>
      </c>
      <c r="D202" s="2" t="s">
        <v>437</v>
      </c>
      <c r="E202" s="3" t="str">
        <f>IFERROR(__xludf.DUMMYFUNCTION("GOOGLETRANSLATE(C202,""en"",""zh-CN"")"),"白色封底会滑入画面上方，而不是像选择的那样滑入保留的最后一帧上方。")</f>
        <v>白色封底会滑入画面上方，而不是像选择的那样滑入保留的最后一帧上方。</v>
      </c>
      <c r="F202" s="3" t="str">
        <f>IFERROR(__xludf.DUMMYFUNCTION("GOOGLETRANSLATE(C202,""en"",""ms"")"),"Penutup putih meluncur masuk ke atas gambar, bukan ke atas bingkai terakhir yang dipegang seperti yang dipilih.")</f>
        <v>Penutup putih meluncur masuk ke atas gambar, bukan ke atas bingkai terakhir yang dipegang seperti yang dipilih.</v>
      </c>
    </row>
    <row r="203">
      <c r="A203" s="2" t="s">
        <v>475</v>
      </c>
      <c r="B203" s="2" t="s">
        <v>476</v>
      </c>
      <c r="C203" s="2" t="s">
        <v>477</v>
      </c>
      <c r="D203" s="3"/>
      <c r="E203" s="3" t="str">
        <f>IFERROR(__xludf.DUMMYFUNCTION("GOOGLETRANSLATE(C203,""en"",""zh-CN"")"),"准备中")</f>
        <v>准备中</v>
      </c>
      <c r="F203" s="3" t="str">
        <f>IFERROR(__xludf.DUMMYFUNCTION("GOOGLETRANSLATE(C203,""en"",""ms"")"),"Bersedia")</f>
        <v>Bersedia</v>
      </c>
    </row>
    <row r="204">
      <c r="A204" s="2" t="s">
        <v>478</v>
      </c>
      <c r="B204" s="2" t="s">
        <v>476</v>
      </c>
      <c r="C204" s="2" t="s">
        <v>479</v>
      </c>
      <c r="D204" s="3"/>
      <c r="E204" s="3" t="str">
        <f>IFERROR(__xludf.DUMMYFUNCTION("GOOGLETRANSLATE(C204,""en"",""zh-CN"")"),"分析音频")</f>
        <v>分析音频</v>
      </c>
      <c r="F204" s="3" t="str">
        <f>IFERROR(__xludf.DUMMYFUNCTION("GOOGLETRANSLATE(C204,""en"",""ms"")"),"Menganalisis audio")</f>
        <v>Menganalisis audio</v>
      </c>
    </row>
    <row r="205">
      <c r="A205" s="2" t="s">
        <v>480</v>
      </c>
      <c r="B205" s="2" t="s">
        <v>476</v>
      </c>
      <c r="C205" s="2" t="s">
        <v>481</v>
      </c>
      <c r="D205" s="3"/>
      <c r="E205" s="3" t="str">
        <f>IFERROR(__xludf.DUMMYFUNCTION("GOOGLETRANSLATE(C205,""en"",""zh-CN"")"),"视频编码")</f>
        <v>视频编码</v>
      </c>
      <c r="F205" s="3" t="str">
        <f>IFERROR(__xludf.DUMMYFUNCTION("GOOGLETRANSLATE(C205,""en"",""ms"")"),"Pengekodan video")</f>
        <v>Pengekodan video</v>
      </c>
    </row>
    <row r="206">
      <c r="A206" s="2" t="s">
        <v>482</v>
      </c>
      <c r="B206" s="2" t="s">
        <v>476</v>
      </c>
      <c r="C206" s="2" t="s">
        <v>483</v>
      </c>
      <c r="D206" s="3"/>
      <c r="E206" s="3" t="str">
        <f>IFERROR(__xludf.DUMMYFUNCTION("GOOGLETRANSLATE(C206,""en"",""zh-CN"")"),"文件已完成")</f>
        <v>文件已完成</v>
      </c>
      <c r="F206" s="3" t="str">
        <f>IFERROR(__xludf.DUMMYFUNCTION("GOOGLETRANSLATE(C206,""en"",""ms"")"),"Menyelesaikan fail")</f>
        <v>Menyelesaikan fail</v>
      </c>
    </row>
    <row r="207">
      <c r="A207" s="2" t="s">
        <v>484</v>
      </c>
      <c r="B207" s="2" t="s">
        <v>476</v>
      </c>
      <c r="C207" s="2" t="s">
        <v>485</v>
      </c>
      <c r="D207" s="3"/>
      <c r="E207" s="3" t="str">
        <f>IFERROR(__xludf.DUMMYFUNCTION("GOOGLETRANSLATE(C207,""en"",""zh-CN"")"),"检查文件")</f>
        <v>检查文件</v>
      </c>
      <c r="F207" s="3" t="str">
        <f>IFERROR(__xludf.DUMMYFUNCTION("GOOGLETRANSLATE(C207,""en"",""ms"")"),"Memeriksa fail")</f>
        <v>Memeriksa fail</v>
      </c>
    </row>
    <row r="208">
      <c r="A208" s="2" t="s">
        <v>486</v>
      </c>
      <c r="B208" s="2" t="s">
        <v>476</v>
      </c>
      <c r="C208" s="2" t="s">
        <v>487</v>
      </c>
      <c r="D208" s="2" t="s">
        <v>488</v>
      </c>
      <c r="E208" s="3" t="str">
        <f>IFERROR(__xludf.DUMMYFUNCTION("GOOGLETRANSLATE(C208,""en"",""zh-CN"")"),"四分之一")</f>
        <v>四分之一</v>
      </c>
      <c r="F208" s="3" t="str">
        <f>IFERROR(__xludf.DUMMYFUNCTION("GOOGLETRANSLATE(C208,""en"",""ms"")"),"suku selesai")</f>
        <v>suku selesai</v>
      </c>
    </row>
    <row r="209">
      <c r="A209" s="2" t="s">
        <v>489</v>
      </c>
      <c r="B209" s="2" t="s">
        <v>476</v>
      </c>
      <c r="C209" s="2" t="s">
        <v>490</v>
      </c>
      <c r="D209" s="2" t="s">
        <v>491</v>
      </c>
      <c r="E209" s="3" t="str">
        <f>IFERROR(__xludf.DUMMYFUNCTION("GOOGLETRANSLATE(C209,""en"",""zh-CN"")"),"完成一半")</f>
        <v>完成一半</v>
      </c>
      <c r="F209" s="3" t="str">
        <f>IFERROR(__xludf.DUMMYFUNCTION("GOOGLETRANSLATE(C209,""en"",""ms"")"),"separuh siap")</f>
        <v>separuh siap</v>
      </c>
    </row>
    <row r="210">
      <c r="A210" s="2" t="s">
        <v>492</v>
      </c>
      <c r="B210" s="2" t="s">
        <v>476</v>
      </c>
      <c r="C210" s="2" t="s">
        <v>493</v>
      </c>
      <c r="D210" s="2" t="s">
        <v>494</v>
      </c>
      <c r="E210" s="3" t="str">
        <f>IFERROR(__xludf.DUMMYFUNCTION("GOOGLETRANSLATE(C210,""en"",""zh-CN"")"),"已完成四分之三")</f>
        <v>已完成四分之三</v>
      </c>
      <c r="F210" s="3" t="str">
        <f>IFERROR(__xludf.DUMMYFUNCTION("GOOGLETRANSLATE(C210,""en"",""ms"")"),"tiga suku selesai")</f>
        <v>tiga suku selesai</v>
      </c>
    </row>
    <row r="211">
      <c r="A211" s="2" t="s">
        <v>495</v>
      </c>
      <c r="B211" s="2" t="s">
        <v>476</v>
      </c>
      <c r="C211" s="2" t="s">
        <v>496</v>
      </c>
      <c r="D211" s="2" t="s">
        <v>497</v>
      </c>
      <c r="E211" s="3" t="str">
        <f>IFERROR(__xludf.DUMMYFUNCTION("GOOGLETRANSLATE(C211,""en"",""zh-CN"")"),"阶段 — 百分比")</f>
        <v>阶段 — 百分比</v>
      </c>
      <c r="F211" s="3" t="str">
        <f>IFERROR(__xludf.DUMMYFUNCTION("GOOGLETRANSLATE(C211,""en"",""ms"")"),"{peringkat} — {peratus}")</f>
        <v>{peringkat} — {peratus}</v>
      </c>
    </row>
    <row r="212">
      <c r="A212" s="2" t="s">
        <v>498</v>
      </c>
      <c r="B212" s="2" t="s">
        <v>476</v>
      </c>
      <c r="C212" s="2" t="s">
        <v>499</v>
      </c>
      <c r="D212" s="2" t="s">
        <v>500</v>
      </c>
      <c r="E212" s="3" t="str">
        <f>IFERROR(__xludf.DUMMYFUNCTION("GOOGLETRANSLATE(C212,""en"",""zh-CN"")"),"阶段 — 里程碑")</f>
        <v>阶段 — 里程碑</v>
      </c>
      <c r="F212" s="3" t="str">
        <f>IFERROR(__xludf.DUMMYFUNCTION("GOOGLETRANSLATE(C212,""en"",""ms"")"),"{peringkat} — {peringkat penting}")</f>
        <v>{peringkat} — {peringkat penting}</v>
      </c>
    </row>
    <row r="213">
      <c r="A213" s="2" t="s">
        <v>501</v>
      </c>
      <c r="B213" s="2" t="s">
        <v>476</v>
      </c>
      <c r="C213" s="2" t="s">
        <v>502</v>
      </c>
      <c r="D213" s="3"/>
      <c r="E213" s="3" t="str">
        <f>IFERROR(__xludf.DUMMYFUNCTION("GOOGLETRANSLATE(C213,""en"",""zh-CN"")"),"准备好")</f>
        <v>准备好</v>
      </c>
      <c r="F213" s="3" t="str">
        <f>IFERROR(__xludf.DUMMYFUNCTION("GOOGLETRANSLATE(C213,""en"",""ms"")"),"Sedia")</f>
        <v>Sedia</v>
      </c>
    </row>
    <row r="214">
      <c r="A214" s="2" t="s">
        <v>503</v>
      </c>
      <c r="B214" s="2" t="s">
        <v>504</v>
      </c>
      <c r="C214" s="2" t="s">
        <v>505</v>
      </c>
      <c r="D214" s="2" t="s">
        <v>506</v>
      </c>
      <c r="E214" s="3" t="str">
        <f>IFERROR(__xludf.DUMMYFUNCTION("GOOGLETRANSLATE(C214,""en"",""zh-CN"")"),"舞台 — 应用")</f>
        <v>舞台 — 应用</v>
      </c>
      <c r="F214" s="3" t="str">
        <f>IFERROR(__xludf.DUMMYFUNCTION("GOOGLETRANSLATE(C214,""en"",""ms"")"),"{peringkat} — {aplikasi}")</f>
        <v>{peringkat} — {aplikasi}</v>
      </c>
    </row>
    <row r="215">
      <c r="A215" s="2" t="s">
        <v>507</v>
      </c>
      <c r="B215" s="2" t="s">
        <v>504</v>
      </c>
      <c r="C215" s="2" t="s">
        <v>508</v>
      </c>
      <c r="D215" s="2" t="s">
        <v>509</v>
      </c>
      <c r="E215" s="3" t="str">
        <f>IFERROR(__xludf.DUMMYFUNCTION("GOOGLETRANSLATE(C215,""en"",""zh-CN"")"),"准备就绪 — {app}")</f>
        <v>准备就绪 — {app}</v>
      </c>
      <c r="F215" s="3" t="str">
        <f>IFERROR(__xludf.DUMMYFUNCTION("GOOGLETRANSLATE(C215,""en"",""ms"")"),"Sedia — {aplikasi}")</f>
        <v>Sedia — {aplikasi}</v>
      </c>
    </row>
    <row r="216">
      <c r="A216" s="2" t="s">
        <v>510</v>
      </c>
      <c r="B216" s="2" t="s">
        <v>504</v>
      </c>
      <c r="C216" s="2" t="s">
        <v>511</v>
      </c>
      <c r="D216" s="2" t="s">
        <v>509</v>
      </c>
      <c r="E216" s="3" t="str">
        <f>IFERROR(__xludf.DUMMYFUNCTION("GOOGLETRANSLATE(C216,""en"",""zh-CN"")"),"未制作 — {app}")</f>
        <v>未制作 — {app}</v>
      </c>
      <c r="F216" s="3" t="str">
        <f>IFERROR(__xludf.DUMMYFUNCTION("GOOGLETRANSLATE(C216,""en"",""ms"")"),"Tidak dibuat — {app}")</f>
        <v>Tidak dibuat — {app}</v>
      </c>
    </row>
    <row r="217">
      <c r="A217" s="2" t="s">
        <v>512</v>
      </c>
      <c r="B217" s="2" t="s">
        <v>504</v>
      </c>
      <c r="C217" s="2" t="s">
        <v>513</v>
      </c>
      <c r="D217" s="2" t="s">
        <v>509</v>
      </c>
      <c r="E217" s="3" t="str">
        <f>IFERROR(__xludf.DUMMYFUNCTION("GOOGLETRANSLATE(C217,""en"",""zh-CN"")"),"已取消 — {app}")</f>
        <v>已取消 — {app}</v>
      </c>
      <c r="F217" s="3" t="str">
        <f>IFERROR(__xludf.DUMMYFUNCTION("GOOGLETRANSLATE(C217,""en"",""ms"")"),"Dibatalkan — {app}")</f>
        <v>Dibatalkan — {app}</v>
      </c>
    </row>
    <row r="218">
      <c r="A218" s="2" t="s">
        <v>514</v>
      </c>
      <c r="B218" s="2" t="s">
        <v>515</v>
      </c>
      <c r="C218" s="2" t="s">
        <v>516</v>
      </c>
      <c r="D218" s="3"/>
      <c r="E218" s="3" t="str">
        <f>IFERROR(__xludf.DUMMYFUNCTION("GOOGLETRANSLATE(C218,""en"",""zh-CN"")"),"视频录制过程中，请保持此标签页可见且电脑处于唤醒状态。关闭标签页即结束录制。")</f>
        <v>视频录制过程中，请保持此标签页可见且电脑处于唤醒状态。关闭标签页即结束录制。</v>
      </c>
      <c r="F218" s="3" t="str">
        <f>IFERROR(__xludf.DUMMYFUNCTION("GOOGLETRANSLATE(C218,""en"",""ms"")"),"Pastikan tab ini kelihatan dan komputer anda terjaga semasa video dibuat. Menutup tab akan menamatkan kerja.")</f>
        <v>Pastikan tab ini kelihatan dan komputer anda terjaga semasa video dibuat. Menutup tab akan menamatkan kerja.</v>
      </c>
    </row>
    <row r="219">
      <c r="A219" s="2" t="s">
        <v>517</v>
      </c>
      <c r="B219" s="2" t="s">
        <v>518</v>
      </c>
      <c r="C219" s="2" t="s">
        <v>519</v>
      </c>
      <c r="D219" s="3"/>
      <c r="E219" s="3" t="str">
        <f>IFERROR(__xludf.DUMMYFUNCTION("GOOGLETRANSLATE(C219,""en"",""zh-CN"")"),"准备出发")</f>
        <v>准备出发</v>
      </c>
      <c r="F219" s="3" t="str">
        <f>IFERROR(__xludf.DUMMYFUNCTION("GOOGLETRANSLATE(C219,""en"",""ms"")"),"Bersedia untuk pergi")</f>
        <v>Bersedia untuk pergi</v>
      </c>
    </row>
    <row r="220">
      <c r="A220" s="2" t="s">
        <v>520</v>
      </c>
      <c r="B220" s="2" t="s">
        <v>518</v>
      </c>
      <c r="C220" s="2" t="s">
        <v>521</v>
      </c>
      <c r="D220" s="3"/>
      <c r="E220" s="3" t="str">
        <f>IFERROR(__xludf.DUMMYFUNCTION("GOOGLETRANSLATE(C220,""en"",""zh-CN"")"),"准备好了，只需知道一件事")</f>
        <v>准备好了，只需知道一件事</v>
      </c>
      <c r="F220" s="3" t="str">
        <f>IFERROR(__xludf.DUMMYFUNCTION("GOOGLETRANSLATE(C220,""en"",""ms"")"),"Bersedia, dengan satu perkara yang perlu diketahui")</f>
        <v>Bersedia, dengan satu perkara yang perlu diketahui</v>
      </c>
    </row>
    <row r="221">
      <c r="A221" s="2" t="s">
        <v>522</v>
      </c>
      <c r="B221" s="2" t="s">
        <v>518</v>
      </c>
      <c r="C221" s="2" t="s">
        <v>523</v>
      </c>
      <c r="D221" s="2" t="s">
        <v>524</v>
      </c>
      <c r="E221" s="3" t="str">
        <f>IFERROR(__xludf.DUMMYFUNCTION("GOOGLETRANSLATE(C221,""en"",""zh-CN"")"),"准备好了，有两件事需要了解")</f>
        <v>准备好了，有两件事需要了解</v>
      </c>
      <c r="F221" s="3" t="str">
        <f>IFERROR(__xludf.DUMMYFUNCTION("GOOGLETRANSLATE(C221,""en"",""ms"")"),"Bersedia, dengan dua perkara yang perlu diketahui")</f>
        <v>Bersedia, dengan dua perkara yang perlu diketahui</v>
      </c>
    </row>
    <row r="222">
      <c r="A222" s="2" t="s">
        <v>525</v>
      </c>
      <c r="B222" s="2" t="s">
        <v>518</v>
      </c>
      <c r="C222" s="2" t="s">
        <v>526</v>
      </c>
      <c r="D222" s="2" t="s">
        <v>527</v>
      </c>
      <c r="E222" s="3" t="str">
        <f>IFERROR(__xludf.DUMMYFUNCTION("GOOGLETRANSLATE(C222,""en"",""zh-CN"")"),"准备好了，以下三件事你需要知道")</f>
        <v>准备好了，以下三件事你需要知道</v>
      </c>
      <c r="F222" s="3" t="str">
        <f>IFERROR(__xludf.DUMMYFUNCTION("GOOGLETRANSLATE(C222,""en"",""ms"")"),"Bersedia, dengan tiga perkara yang perlu diketahui")</f>
        <v>Bersedia, dengan tiga perkara yang perlu diketahui</v>
      </c>
    </row>
    <row r="223">
      <c r="A223" s="2" t="s">
        <v>528</v>
      </c>
      <c r="B223" s="2" t="s">
        <v>518</v>
      </c>
      <c r="C223" s="2" t="s">
        <v>529</v>
      </c>
      <c r="D223" s="2" t="s">
        <v>530</v>
      </c>
      <c r="E223" s="3" t="str">
        <f>IFERROR(__xludf.DUMMYFUNCTION("GOOGLETRANSLATE(C223,""en"",""zh-CN"")"),"准备好了，以下四件事你需要知道")</f>
        <v>准备好了，以下四件事你需要知道</v>
      </c>
      <c r="F223" s="3" t="str">
        <f>IFERROR(__xludf.DUMMYFUNCTION("GOOGLETRANSLATE(C223,""en"",""ms"")"),"Bersedia, dengan empat perkara yang perlu diketahui")</f>
        <v>Bersedia, dengan empat perkara yang perlu diketahui</v>
      </c>
    </row>
    <row r="224">
      <c r="A224" s="2" t="s">
        <v>531</v>
      </c>
      <c r="B224" s="2" t="s">
        <v>518</v>
      </c>
      <c r="C224" s="2" t="s">
        <v>532</v>
      </c>
      <c r="D224" s="2" t="s">
        <v>533</v>
      </c>
      <c r="E224" s="3" t="str">
        <f>IFERROR(__xludf.DUMMYFUNCTION("GOOGLETRANSLATE(C224,""en"",""zh-CN"")"),"准备好了吗？以下是您需要了解的五件事。")</f>
        <v>准备好了吗？以下是您需要了解的五件事。</v>
      </c>
      <c r="F224" s="3" t="str">
        <f>IFERROR(__xludf.DUMMYFUNCTION("GOOGLETRANSLATE(C224,""en"",""ms"")"),"Bersedia, dengan lima perkara yang perlu diketahui")</f>
        <v>Bersedia, dengan lima perkara yang perlu diketahui</v>
      </c>
    </row>
    <row r="225">
      <c r="A225" s="2" t="s">
        <v>534</v>
      </c>
      <c r="B225" s="2" t="s">
        <v>518</v>
      </c>
      <c r="C225" s="2" t="s">
        <v>535</v>
      </c>
      <c r="D225" s="2" t="s">
        <v>536</v>
      </c>
      <c r="E225" s="3" t="str">
        <f>IFERROR(__xludf.DUMMYFUNCTION("GOOGLETRANSLATE(C225,""en"",""zh-CN"")"),"准备好了吗？你需要知道以下六件事。")</f>
        <v>准备好了吗？你需要知道以下六件事。</v>
      </c>
      <c r="F225" s="3" t="str">
        <f>IFERROR(__xludf.DUMMYFUNCTION("GOOGLETRANSLATE(C225,""en"",""ms"")"),"Bersedia, dengan enam perkara yang perlu diketahui")</f>
        <v>Bersedia, dengan enam perkara yang perlu diketahui</v>
      </c>
    </row>
    <row r="226">
      <c r="A226" s="2" t="s">
        <v>537</v>
      </c>
      <c r="B226" s="2" t="s">
        <v>518</v>
      </c>
      <c r="C226" s="2" t="s">
        <v>538</v>
      </c>
      <c r="D226" s="2" t="s">
        <v>539</v>
      </c>
      <c r="E226" s="3" t="str">
        <f>IFERROR(__xludf.DUMMYFUNCTION("GOOGLETRANSLATE(C226,""en"",""zh-CN"")"),"准备好了，有{count}件你需要知道的事情")</f>
        <v>准备好了，有{count}件你需要知道的事情</v>
      </c>
      <c r="F226" s="3" t="str">
        <f>IFERROR(__xludf.DUMMYFUNCTION("GOOGLETRANSLATE(C226,""en"",""ms"")"),"Bersedia, dengan {count} perkara yang perlu diketahui")</f>
        <v>Bersedia, dengan {count} perkara yang perlu diketahui</v>
      </c>
    </row>
    <row r="227">
      <c r="A227" s="2" t="s">
        <v>540</v>
      </c>
      <c r="B227" s="2" t="s">
        <v>518</v>
      </c>
      <c r="C227" s="2" t="s">
        <v>541</v>
      </c>
      <c r="D227" s="3"/>
      <c r="E227" s="3" t="str">
        <f>IFERROR(__xludf.DUMMYFUNCTION("GOOGLETRANSLATE(C227,""en"",""zh-CN"")"),"这样做可行，但速度会很慢。")</f>
        <v>这样做可行，但速度会很慢。</v>
      </c>
      <c r="F227" s="3" t="str">
        <f>IFERROR(__xludf.DUMMYFUNCTION("GOOGLETRANSLATE(C227,""en"",""ms"")"),"Ini akan berkesan, tetapi ia akan menjadi perlahan")</f>
        <v>Ini akan berkesan, tetapi ia akan menjadi perlahan</v>
      </c>
    </row>
    <row r="228">
      <c r="A228" s="2" t="s">
        <v>542</v>
      </c>
      <c r="B228" s="2" t="s">
        <v>518</v>
      </c>
      <c r="C228" s="2" t="s">
        <v>543</v>
      </c>
      <c r="D228" s="3"/>
      <c r="E228" s="3" t="str">
        <f>IFERROR(__xludf.DUMMYFUNCTION("GOOGLETRANSLATE(C228,""en"",""zh-CN"")"),"这可能无法在手机或平板电脑上完成。")</f>
        <v>这可能无法在手机或平板电脑上完成。</v>
      </c>
      <c r="F228" s="3" t="str">
        <f>IFERROR(__xludf.DUMMYFUNCTION("GOOGLETRANSLATE(C228,""en"",""ms"")"),"Ini mungkin tidak selesai pada telefon atau tablet")</f>
        <v>Ini mungkin tidak selesai pada telefon atau tablet</v>
      </c>
    </row>
    <row r="229">
      <c r="A229" s="2" t="s">
        <v>544</v>
      </c>
      <c r="B229" s="2" t="s">
        <v>518</v>
      </c>
      <c r="C229" s="2" t="s">
        <v>545</v>
      </c>
      <c r="D229" s="3"/>
      <c r="E229" s="3" t="str">
        <f>IFERROR(__xludf.DUMMYFUNCTION("GOOGLETRANSLATE(C229,""en"",""zh-CN"")"),"这段代码无法在此处运行。")</f>
        <v>这段代码无法在此处运行。</v>
      </c>
      <c r="F229" s="3" t="str">
        <f>IFERROR(__xludf.DUMMYFUNCTION("GOOGLETRANSLATE(C229,""en"",""ms"")"),"Ini tidak boleh dijalankan di sini")</f>
        <v>Ini tidak boleh dijalankan di sini</v>
      </c>
    </row>
    <row r="230">
      <c r="A230" s="2" t="s">
        <v>546</v>
      </c>
      <c r="B230" s="2" t="s">
        <v>547</v>
      </c>
      <c r="C230" s="2" t="s">
        <v>548</v>
      </c>
      <c r="D230" s="3"/>
      <c r="E230" s="3" t="str">
        <f>IFERROR(__xludf.DUMMYFUNCTION("GOOGLETRANSLATE(C230,""en"",""zh-CN"")"),"本工具专为电脑上的 Chrome 浏览器而设计——请在 Chrome 浏览器上尝试使用。")</f>
        <v>本工具专为电脑上的 Chrome 浏览器而设计——请在 Chrome 浏览器上尝试使用。</v>
      </c>
      <c r="F230" s="3" t="str">
        <f>IFERROR(__xludf.DUMMYFUNCTION("GOOGLETRANSLATE(C230,""en"",""ms"")"),"Chrome pada komputer ialah pelayar yang digunakan untuk alat ini — cubalah di sana.")</f>
        <v>Chrome pada komputer ialah pelayar yang digunakan untuk alat ini — cubalah di sana.</v>
      </c>
    </row>
    <row r="231">
      <c r="A231" s="2" t="s">
        <v>549</v>
      </c>
      <c r="B231" s="2" t="s">
        <v>547</v>
      </c>
      <c r="C231" s="2" t="s">
        <v>550</v>
      </c>
      <c r="D231" s="3"/>
      <c r="E231" s="3" t="str">
        <f>IFERROR(__xludf.DUMMYFUNCTION("GOOGLETRANSLATE(C231,""en"",""zh-CN"")"),"此Chrome浏览器版本可能已过期，或者此计算机上的某个设置可能已关闭此功能。请更新Chrome浏览器，或咨询计算机管理员。")</f>
        <v>此Chrome浏览器版本可能已过期，或者此计算机上的某个设置可能已关闭此功能。请更新Chrome浏览器，或咨询计算机管理员。</v>
      </c>
      <c r="F231" s="3" t="str">
        <f>IFERROR(__xludf.DUMMYFUNCTION("GOOGLETRANSLATE(C231,""en"",""ms"")"),"Salinan Chrome ini mungkin sudah lapuk atau tetapan pada komputer ini mungkin telah mematikan ciri ini. Kemas kini Chrome atau tanya sesiapa yang mengurus komputer tersebut.")</f>
        <v>Salinan Chrome ini mungkin sudah lapuk atau tetapan pada komputer ini mungkin telah mematikan ciri ini. Kemas kini Chrome atau tanya sesiapa yang mengurus komputer tersebut.</v>
      </c>
    </row>
    <row r="232">
      <c r="A232" s="2" t="s">
        <v>551</v>
      </c>
      <c r="B232" s="2" t="s">
        <v>552</v>
      </c>
      <c r="C232" s="2" t="s">
        <v>553</v>
      </c>
      <c r="D232" s="2" t="s">
        <v>554</v>
      </c>
      <c r="E232" s="3" t="str">
        <f>IFERROR(__xludf.DUMMYFUNCTION("GOOGLETRANSLATE(C232,""en"",""zh-CN"")"),"此浏览器无法处理视频。{解决方法}")</f>
        <v>此浏览器无法处理视频。{解决方法}</v>
      </c>
      <c r="F232" s="3" t="str">
        <f>IFERROR(__xludf.DUMMYFUNCTION("GOOGLETRANSLATE(C232,""en"",""ms"")"),"Pelayar ini tidak dapat memproses video. {remedy}")</f>
        <v>Pelayar ini tidak dapat memproses video. {remedy}</v>
      </c>
    </row>
    <row r="233">
      <c r="A233" s="2" t="s">
        <v>555</v>
      </c>
      <c r="B233" s="2" t="s">
        <v>552</v>
      </c>
      <c r="C233" s="2" t="s">
        <v>556</v>
      </c>
      <c r="D233" s="2" t="s">
        <v>554</v>
      </c>
      <c r="E233" s="3" t="str">
        <f>IFERROR(__xludf.DUMMYFUNCTION("GOOGLETRANSLATE(C233,""en"",""zh-CN"")"),"此浏览器无法为视频文件添加声音。{解决方法}")</f>
        <v>此浏览器无法为视频文件添加声音。{解决方法}</v>
      </c>
      <c r="F233" s="3" t="str">
        <f>IFERROR(__xludf.DUMMYFUNCTION("GOOGLETRANSLATE(C233,""en"",""ms"")"),"Pelayar ini tidak boleh menambah bunyi pada fail video. {remedy}")</f>
        <v>Pelayar ini tidak boleh menambah bunyi pada fail video. {remedy}</v>
      </c>
    </row>
    <row r="234">
      <c r="A234" s="2" t="s">
        <v>557</v>
      </c>
      <c r="B234" s="2" t="s">
        <v>552</v>
      </c>
      <c r="C234" s="2" t="s">
        <v>558</v>
      </c>
      <c r="D234" s="2" t="s">
        <v>554</v>
      </c>
      <c r="E234" s="3" t="str">
        <f>IFERROR(__xludf.DUMMYFUNCTION("GOOGLETRANSLATE(C234,""en"",""zh-CN"")"),"此浏览器无法为视频文件添加声音。{解决方法} Firefox 可以播放视频，但无法创建所需的声音。")</f>
        <v>此浏览器无法为视频文件添加声音。{解决方法} Firefox 可以播放视频，但无法创建所需的声音。</v>
      </c>
      <c r="F234" s="3" t="str">
        <f>IFERROR(__xludf.DUMMYFUNCTION("GOOGLETRANSLATE(C234,""en"",""ms"")"),"Pelayar ini tidak boleh menambah bunyi pada fail video. {remedy} Firefox boleh memainkan video tetapi tidak boleh mencipta bunyi yang diperlukan.")</f>
        <v>Pelayar ini tidak boleh menambah bunyi pada fail video. {remedy} Firefox boleh memainkan video tetapi tidak boleh mencipta bunyi yang diperlukan.</v>
      </c>
    </row>
    <row r="235">
      <c r="A235" s="2" t="s">
        <v>559</v>
      </c>
      <c r="B235" s="2" t="s">
        <v>552</v>
      </c>
      <c r="C235" s="2" t="s">
        <v>560</v>
      </c>
      <c r="D235" s="2" t="s">
        <v>554</v>
      </c>
      <c r="E235" s="3" t="str">
        <f>IFERROR(__xludf.DUMMYFUNCTION("GOOGLETRANSLATE(C235,""en"",""zh-CN"")"),"此浏览器无法创建此工具所需的视频格式。{补救措施}")</f>
        <v>此浏览器无法创建此工具所需的视频格式。{补救措施}</v>
      </c>
      <c r="F235" s="3" t="str">
        <f>IFERROR(__xludf.DUMMYFUNCTION("GOOGLETRANSLATE(C235,""en"",""ms"")"),"Pelayar ini tidak dapat mencipta format video yang diperlukan oleh alat ini. {remedy}")</f>
        <v>Pelayar ini tidak dapat mencipta format video yang diperlukan oleh alat ini. {remedy}</v>
      </c>
    </row>
    <row r="236">
      <c r="A236" s="2" t="s">
        <v>561</v>
      </c>
      <c r="B236" s="2" t="s">
        <v>552</v>
      </c>
      <c r="C236" s="2" t="s">
        <v>562</v>
      </c>
      <c r="D236" s="3"/>
      <c r="E236" s="3" t="str">
        <f>IFERROR(__xludf.DUMMYFUNCTION("GOOGLETRANSLATE(C236,""en"",""zh-CN"")"),"此浏览器无法读取此文件中的图片或音频。该文件可能以编辑软件专用格式保存。请将其重新导出为 MP4 格式（文件名以 .mp4 结尾），然后选择该文件。")</f>
        <v>此浏览器无法读取此文件中的图片或音频。该文件可能以编辑软件专用格式保存。请将其重新导出为 MP4 格式（文件名以 .mp4 结尾），然后选择该文件。</v>
      </c>
      <c r="F236" s="3" t="str">
        <f>IFERROR(__xludf.DUMMYFUNCTION("GOOGLETRANSLATE(C236,""en"",""ms"")"),"Pelayar ini tidak dapat membaca gambar atau bunyi di dalam fail ini. Ia mungkin disimpan dalam format yang dibuat untuk perisian penyuntingan. Eksportnya sekali lagi sebagai MP4 — fail yang namanya berakhir dengan .mp4 — dan pilih fail tersebut.")</f>
        <v>Pelayar ini tidak dapat membaca gambar atau bunyi di dalam fail ini. Ia mungkin disimpan dalam format yang dibuat untuk perisian penyuntingan. Eksportnya sekali lagi sebagai MP4 — fail yang namanya berakhir dengan .mp4 — dan pilih fail tersebut.</v>
      </c>
    </row>
    <row r="237">
      <c r="A237" s="2" t="s">
        <v>563</v>
      </c>
      <c r="B237" s="2" t="s">
        <v>552</v>
      </c>
      <c r="C237" s="2" t="s">
        <v>564</v>
      </c>
      <c r="D237" s="2" t="s">
        <v>554</v>
      </c>
      <c r="E237" s="3" t="str">
        <f>IFERROR(__xludf.DUMMYFUNCTION("GOOGLETRANSLATE(C237,""en"",""zh-CN"")"),"此浏览器无法读取此文件中的图片或音频。{解决方法} 如果也无法打开，则该文件可能以编辑软件专用格式保存。请将其重新导出为 MP4 格式——文件名以 .mp4 结尾的文件。")</f>
        <v>此浏览器无法读取此文件中的图片或音频。{解决方法} 如果也无法打开，则该文件可能以编辑软件专用格式保存。请将其重新导出为 MP4 格式——文件名以 .mp4 结尾的文件。</v>
      </c>
      <c r="F237" s="3" t="str">
        <f>IFERROR(__xludf.DUMMYFUNCTION("GOOGLETRANSLATE(C237,""en"",""ms"")"),"Pelayar ini tidak dapat membaca gambar atau bunyi di dalam fail ini. {remedy} Jika ia juga tidak dapat dibuka di sana, fail itu mungkin disimpan dalam format yang dibuat untuk perisian penyuntingan. Eksportnya semula sebagai MP4 — fail yang namanya berakh"&amp;"ir dengan .mp4.")</f>
        <v>Pelayar ini tidak dapat membaca gambar atau bunyi di dalam fail ini. {remedy} Jika ia juga tidak dapat dibuka di sana, fail itu mungkin disimpan dalam format yang dibuat untuk perisian penyuntingan. Eksportnya semula sebagai MP4 — fail yang namanya berakhir dengan .mp4.</v>
      </c>
    </row>
    <row r="238">
      <c r="A238" s="2" t="s">
        <v>565</v>
      </c>
      <c r="B238" s="2" t="s">
        <v>552</v>
      </c>
      <c r="C238" s="2" t="s">
        <v>566</v>
      </c>
      <c r="D238" s="3"/>
      <c r="E238" s="3" t="str">
        <f>IFERROR(__xludf.DUMMYFUNCTION("GOOGLETRANSLATE(C238,""en"",""zh-CN"")"),"此浏览器无法为该工具提供构建视频所需的空间。如果您使用隐私浏览模式，通常使用普通窗口即可；否则，可能是此计算机上的某个设置阻止了网站存储——请咨询管理员。")</f>
        <v>此浏览器无法为该工具提供构建视频所需的空间。如果您使用隐私浏览模式，通常使用普通窗口即可；否则，可能是此计算机上的某个设置阻止了网站存储——请咨询管理员。</v>
      </c>
      <c r="F238" s="3" t="str">
        <f>IFERROR(__xludf.DUMMYFUNCTION("GOOGLETRANSLATE(C238,""en"",""ms"")"),"Pelayar ini tidak akan memberikan alat ini ruang kerja yang diperlukan untuk membina video anda. Jika anda melayari secara peribadi, tetingkap biasa biasanya berfungsi; jika tidak, tetapan pada komputer ini mungkin menyekat storan tapak — tanya sesiapa ya"&amp;"ng mengurusnya.")</f>
        <v>Pelayar ini tidak akan memberikan alat ini ruang kerja yang diperlukan untuk membina video anda. Jika anda melayari secara peribadi, tetingkap biasa biasanya berfungsi; jika tidak, tetapan pada komputer ini mungkin menyekat storan tapak — tanya sesiapa yang mengurusnya.</v>
      </c>
    </row>
    <row r="239">
      <c r="A239" s="2" t="s">
        <v>567</v>
      </c>
      <c r="B239" s="2" t="s">
        <v>552</v>
      </c>
      <c r="C239" s="2" t="s">
        <v>568</v>
      </c>
      <c r="D239" s="2" t="s">
        <v>554</v>
      </c>
      <c r="E239" s="3" t="str">
        <f>IFERROR(__xludf.DUMMYFUNCTION("GOOGLETRANSLATE(C239,""en"",""zh-CN"")"),"此浏览器无法为工具提供构建视频所需的空间。{解决方法} 如果您使用隐私浏览模式，通常使用普通窗口即可。")</f>
        <v>此浏览器无法为工具提供构建视频所需的空间。{解决方法} 如果您使用隐私浏览模式，通常使用普通窗口即可。</v>
      </c>
      <c r="F239" s="3" t="str">
        <f>IFERROR(__xludf.DUMMYFUNCTION("GOOGLETRANSLATE(C239,""en"",""ms"")"),"Pelayar ini tidak akan memberikan alat ini ruang kerja yang diperlukan untuk membina video anda. {remedy} Jika anda melayari secara peribadi, tetingkap biasa biasanya berfungsi.")</f>
        <v>Pelayar ini tidak akan memberikan alat ini ruang kerja yang diperlukan untuk membina video anda. {remedy} Jika anda melayari secara peribadi, tetingkap biasa biasanya berfungsi.</v>
      </c>
    </row>
    <row r="240">
      <c r="A240" s="2" t="s">
        <v>569</v>
      </c>
      <c r="B240" s="2" t="s">
        <v>552</v>
      </c>
      <c r="C240" s="2" t="s">
        <v>570</v>
      </c>
      <c r="D240" s="3"/>
      <c r="E240" s="3" t="str">
        <f>IFERROR(__xludf.DUMMYFUNCTION("GOOGLETRANSLATE(C240,""en"",""zh-CN"")"),"此页面需要安全连接才能播放您的视频。请使用 https:// 地址打开，如果您自行运行，则请使用 localhost。")</f>
        <v>此页面需要安全连接才能播放您的视频。请使用 https:// 地址打开，如果您自行运行，则请使用 localhost。</v>
      </c>
      <c r="F240" s="3" t="str">
        <f>IFERROR(__xludf.DUMMYFUNCTION("GOOGLETRANSLATE(C240,""en"",""ms"")"),"Halaman ini memerlukan sambungan yang selamat sebelum ia boleh berfungsi dengan video anda. Bukanya di alamat https:// atau di localhost jika anda menjalankannya sendiri.")</f>
        <v>Halaman ini memerlukan sambungan yang selamat sebelum ia boleh berfungsi dengan video anda. Bukanya di alamat https:// atau di localhost jika anda menjalankannya sendiri.</v>
      </c>
    </row>
    <row r="241">
      <c r="A241" s="2" t="s">
        <v>571</v>
      </c>
      <c r="B241" s="2" t="s">
        <v>552</v>
      </c>
      <c r="C241" s="2" t="s">
        <v>572</v>
      </c>
      <c r="D241" s="2" t="s">
        <v>573</v>
      </c>
      <c r="E241" s="3" t="str">
        <f>IFERROR(__xludf.DUMMYFUNCTION("GOOGLETRANSLATE(C241,""en"",""zh-CN"")"),"此设备上的可用空间不足。此作业需要大约 {size} 的工作空间。请释放一些空间后重试，或减少视频大小，或选择 {smaller}。")</f>
        <v>此设备上的可用空间不足。此作业需要大约 {size} 的工作空间。请释放一些空间后重试，或减少视频大小，或选择 {smaller}。</v>
      </c>
      <c r="F241" s="3" t="str">
        <f>IFERROR(__xludf.DUMMYFUNCTION("GOOGLETRANSLATE(C241,""en"",""ms"")"),"Ruang kosong pada peranti ini tidak mencukupi. Kerja ini memerlukan kira-kira {size} ruang kerja. Kosongkan sedikit ruang dan cuba lagi, kurangkan video atau pilih {smaller}.")</f>
        <v>Ruang kosong pada peranti ini tidak mencukupi. Kerja ini memerlukan kira-kira {size} ruang kerja. Kosongkan sedikit ruang dan cuba lagi, kurangkan video atau pilih {smaller}.</v>
      </c>
    </row>
    <row r="242">
      <c r="A242" s="2" t="s">
        <v>574</v>
      </c>
      <c r="B242" s="2" t="s">
        <v>552</v>
      </c>
      <c r="C242" s="2" t="s">
        <v>575</v>
      </c>
      <c r="D242" s="2" t="s">
        <v>408</v>
      </c>
      <c r="E242" s="3" t="str">
        <f>IFERROR(__xludf.DUMMYFUNCTION("GOOGLETRANSLATE(C242,""en"",""zh-CN"")"),"此设备上的可用空间不足。此作业需要大约 {size} 的工作空间。请释放一些空间后重试。")</f>
        <v>此设备上的可用空间不足。此作业需要大约 {size} 的工作空间。请释放一些空间后重试。</v>
      </c>
      <c r="F242" s="3" t="str">
        <f>IFERROR(__xludf.DUMMYFUNCTION("GOOGLETRANSLATE(C242,""en"",""ms"")"),"Ruang kosong pada peranti ini tidak mencukupi. Kerja ini memerlukan kira-kira {size} ruang kerja. Kosongkan sedikit ruang dan cuba lagi.")</f>
        <v>Ruang kosong pada peranti ini tidak mencukupi. Kerja ini memerlukan kira-kira {size} ruang kerja. Kosongkan sedikit ruang dan cuba lagi.</v>
      </c>
    </row>
    <row r="243">
      <c r="A243" s="2" t="s">
        <v>576</v>
      </c>
      <c r="B243" s="2" t="s">
        <v>552</v>
      </c>
      <c r="C243" s="2" t="s">
        <v>577</v>
      </c>
      <c r="D243" s="3"/>
      <c r="E243" s="3" t="str">
        <f>IFERROR(__xludf.DUMMYFUNCTION("GOOGLETRANSLATE(C243,""en"",""zh-CN"")"),"此浏览器不会显示剩余空间。如果空间不足，任务将停止，且不会保存任何内容——您的原始文件不受影响。")</f>
        <v>此浏览器不会显示剩余空间。如果空间不足，任务将停止，且不会保存任何内容——您的原始文件不受影响。</v>
      </c>
      <c r="F243" s="3" t="str">
        <f>IFERROR(__xludf.DUMMYFUNCTION("GOOGLETRANSLATE(C243,""en"",""ms"")"),"Pelayar ini tidak akan menyatakan berapa banyak ruang kosong yang ada. Jika ia kehabisan sebahagian, kerja akan berhenti dan tiada apa yang disimpan — fail asal anda tidak terjejas.")</f>
        <v>Pelayar ini tidak akan menyatakan berapa banyak ruang kosong yang ada. Jika ia kehabisan sebahagian, kerja akan berhenti dan tiada apa yang disimpan — fail asal anda tidak terjejas.</v>
      </c>
    </row>
    <row r="244">
      <c r="A244" s="2" t="s">
        <v>578</v>
      </c>
      <c r="B244" s="2" t="s">
        <v>552</v>
      </c>
      <c r="C244" s="2" t="s">
        <v>579</v>
      </c>
      <c r="D244" s="2" t="s">
        <v>580</v>
      </c>
      <c r="E244" s="3" t="str">
        <f>IFERROR(__xludf.DUMMYFUNCTION("GOOGLETRANSLATE(C244,""en"",""zh-CN"")"),"这大约需要{时间}。您可以继续操作，但使用台式电脑会快得多。")</f>
        <v>这大约需要{时间}。您可以继续操作，但使用台式电脑会快得多。</v>
      </c>
      <c r="F244" s="3" t="str">
        <f>IFERROR(__xludf.DUMMYFUNCTION("GOOGLETRANSLATE(C244,""en"",""ms"")"),"Ini akan mengambil masa kira-kira {masa}. Anda boleh teruskan, tetapi komputer desktop akan jauh lebih pantas.")</f>
        <v>Ini akan mengambil masa kira-kira {masa}. Anda boleh teruskan, tetapi komputer desktop akan jauh lebih pantas.</v>
      </c>
    </row>
    <row r="245">
      <c r="A245" s="2" t="s">
        <v>581</v>
      </c>
      <c r="B245" s="2" t="s">
        <v>552</v>
      </c>
      <c r="C245" s="2" t="s">
        <v>582</v>
      </c>
      <c r="D245" s="3"/>
      <c r="E245" s="3" t="str">
        <f>IFERROR(__xludf.DUMMYFUNCTION("GOOGLETRANSLATE(C245,""en"",""zh-CN"")"),"这将花费很长时间。你可以继续操作，但使用台式电脑会快得多。")</f>
        <v>这将花费很长时间。你可以继续操作，但使用台式电脑会快得多。</v>
      </c>
      <c r="F245" s="3" t="str">
        <f>IFERROR(__xludf.DUMMYFUNCTION("GOOGLETRANSLATE(C245,""en"",""ms"")"),"Ini akan mengambil masa yang agak lama. Anda boleh teruskan, tetapi komputer desktop akan jauh lebih pantas.")</f>
        <v>Ini akan mengambil masa yang agak lama. Anda boleh teruskan, tetapi komputer desktop akan jauh lebih pantas.</v>
      </c>
    </row>
    <row r="246">
      <c r="A246" s="2" t="s">
        <v>583</v>
      </c>
      <c r="B246" s="2" t="s">
        <v>552</v>
      </c>
      <c r="C246" s="2" t="s">
        <v>584</v>
      </c>
      <c r="D246" s="2" t="s">
        <v>580</v>
      </c>
      <c r="E246" s="3" t="str">
        <f>IFERROR(__xludf.DUMMYFUNCTION("GOOGLETRANSLATE(C246,""en"",""zh-CN"")"),"这大约需要{time}时间。运行期间请保持此标签页打开——关闭它会停止任务。")</f>
        <v>这大约需要{time}时间。运行期间请保持此标签页打开——关闭它会停止任务。</v>
      </c>
      <c r="F246" s="3" t="str">
        <f>IFERROR(__xludf.DUMMYFUNCTION("GOOGLETRANSLATE(C246,""en"",""ms"")"),"Ini akan mengambil masa kira-kira {time}. Pastikan tab ini terbuka semasa ia berjalan — menutupnya akan menghentikan kerja.")</f>
        <v>Ini akan mengambil masa kira-kira {time}. Pastikan tab ini terbuka semasa ia berjalan — menutupnya akan menghentikan kerja.</v>
      </c>
    </row>
    <row r="247">
      <c r="A247" s="2" t="s">
        <v>585</v>
      </c>
      <c r="B247" s="2" t="s">
        <v>552</v>
      </c>
      <c r="C247" s="2" t="s">
        <v>586</v>
      </c>
      <c r="D247" s="3"/>
      <c r="E247" s="3" t="str">
        <f>IFERROR(__xludf.DUMMYFUNCTION("GOOGLETRANSLATE(C247,""en"",""zh-CN"")"),"这需要一些时间。运行期间请保持此标签页打开——关闭它会停止任务。")</f>
        <v>这需要一些时间。运行期间请保持此标签页打开——关闭它会停止任务。</v>
      </c>
      <c r="F247" s="3" t="str">
        <f>IFERROR(__xludf.DUMMYFUNCTION("GOOGLETRANSLATE(C247,""en"",""ms"")"),"Ini akan mengambil masa yang agak lama. Pastikan tab ini terbuka semasa ia berjalan — menutupnya akan menghentikan kerja.")</f>
        <v>Ini akan mengambil masa yang agak lama. Pastikan tab ini terbuka semasa ia berjalan — menutupnya akan menghentikan kerja.</v>
      </c>
    </row>
    <row r="248">
      <c r="A248" s="2" t="s">
        <v>587</v>
      </c>
      <c r="B248" s="2" t="s">
        <v>552</v>
      </c>
      <c r="C248" s="2" t="s">
        <v>588</v>
      </c>
      <c r="D248" s="3"/>
      <c r="E248" s="3" t="str">
        <f>IFERROR(__xludf.DUMMYFUNCTION("GOOGLETRANSLATE(C248,""en"",""zh-CN"")"),"手机和平板电脑处理这类任务的速度远比电脑慢，而且浏览器可能会为了释放内存而中途终止任务。如果可以，请使用电脑。")</f>
        <v>手机和平板电脑处理这类任务的速度远比电脑慢，而且浏览器可能会为了释放内存而中途终止任务。如果可以，请使用电脑。</v>
      </c>
      <c r="F248" s="3" t="str">
        <f>IFERROR(__xludf.DUMMYFUNCTION("GOOGLETRANSLATE(C248,""en"",""ms"")"),"Telefon dan tablet jauh lebih perlahan dalam hal ini berbanding komputer, dan pelayar di sana mungkin menamatkan kerja separuh jalan untuk mengosongkan memori. Gunakan komputer jika boleh.")</f>
        <v>Telefon dan tablet jauh lebih perlahan dalam hal ini berbanding komputer, dan pelayar di sana mungkin menamatkan kerja separuh jalan untuk mengosongkan memori. Gunakan komputer jika boleh.</v>
      </c>
    </row>
    <row r="249">
      <c r="A249" s="2" t="s">
        <v>589</v>
      </c>
      <c r="B249" s="2" t="s">
        <v>552</v>
      </c>
      <c r="C249" s="2" t="s">
        <v>590</v>
      </c>
      <c r="D249" s="3"/>
      <c r="E249" s="3" t="str">
        <f>IFERROR(__xludf.DUMMYFUNCTION("GOOGLETRANSLATE(C249,""en"",""zh-CN"")"),"我们无法确定这台设备需要多长时间才能完成。您可以继续操作。")</f>
        <v>我们无法确定这台设备需要多长时间才能完成。您可以继续操作。</v>
      </c>
      <c r="F249" s="3" t="str">
        <f>IFERROR(__xludf.DUMMYFUNCTION("GOOGLETRANSLATE(C249,""en"",""ms"")"),"Kami tidak dapat menentukan berapa lama masa yang akan diambil untuk peranti ini. Anda masih boleh meneruskan.")</f>
        <v>Kami tidak dapat menentukan berapa lama masa yang akan diambil untuk peranti ini. Anda masih boleh meneruskan.</v>
      </c>
    </row>
    <row r="250">
      <c r="A250" s="2" t="s">
        <v>591</v>
      </c>
      <c r="B250" s="2" t="s">
        <v>547</v>
      </c>
      <c r="C250" s="2" t="s">
        <v>592</v>
      </c>
      <c r="D250" s="2" t="s">
        <v>580</v>
      </c>
      <c r="E250" s="3" t="str">
        <f>IFERROR(__xludf.DUMMYFUNCTION("GOOGLETRANSLATE(C250,""en"",""zh-CN"")"),"这大约需要{时间}。")</f>
        <v>这大约需要{时间}。</v>
      </c>
      <c r="F250" s="3" t="str">
        <f>IFERROR(__xludf.DUMMYFUNCTION("GOOGLETRANSLATE(C250,""en"",""ms"")"),"Ini sepatutnya mengambil masa kira-kira {time}.")</f>
        <v>Ini sepatutnya mengambil masa kira-kira {time}.</v>
      </c>
    </row>
    <row r="251">
      <c r="A251" s="2" t="s">
        <v>593</v>
      </c>
      <c r="B251" s="2" t="s">
        <v>547</v>
      </c>
      <c r="C251" s="2" t="s">
        <v>594</v>
      </c>
      <c r="D251" s="3"/>
      <c r="E251" s="3" t="str">
        <f>IFERROR(__xludf.DUMMYFUNCTION("GOOGLETRANSLATE(C251,""en"",""zh-CN"")"),"这应该只需要几秒钟。")</f>
        <v>这应该只需要几秒钟。</v>
      </c>
      <c r="F251" s="3" t="str">
        <f>IFERROR(__xludf.DUMMYFUNCTION("GOOGLETRANSLATE(C251,""en"",""ms"")"),"Ini sepatutnya mengambil masa beberapa saat.")</f>
        <v>Ini sepatutnya mengambil masa beberapa saat.</v>
      </c>
    </row>
    <row r="252">
      <c r="A252" s="2" t="s">
        <v>595</v>
      </c>
      <c r="B252" s="2" t="s">
        <v>547</v>
      </c>
      <c r="C252" s="2" t="s">
        <v>596</v>
      </c>
      <c r="D252" s="2" t="s">
        <v>408</v>
      </c>
      <c r="E252" s="3" t="str">
        <f>IFERROR(__xludf.DUMMYFUNCTION("GOOGLETRANSLATE(C252,""en"",""zh-CN"")"),"预计尺寸最大可达{size}。")</f>
        <v>预计尺寸最大可达{size}。</v>
      </c>
      <c r="F252" s="3" t="str">
        <f>IFERROR(__xludf.DUMMYFUNCTION("GOOGLETRANSLATE(C252,""en"",""ms"")"),"Anggaran saiz sehingga {size}.")</f>
        <v>Anggaran saiz sehingga {size}.</v>
      </c>
    </row>
    <row r="253">
      <c r="A253" s="2" t="s">
        <v>597</v>
      </c>
      <c r="B253" s="2" t="s">
        <v>547</v>
      </c>
      <c r="C253" s="2" t="s">
        <v>598</v>
      </c>
      <c r="D253" s="3"/>
      <c r="E253" s="3" t="str">
        <f>IFERROR(__xludf.DUMMYFUNCTION("GOOGLETRANSLATE(C253,""en"",""zh-CN"")"),"您的视频已经按照此设置进行了最大程度的压缩，因此新文件的大小将大致相同。")</f>
        <v>您的视频已经按照此设置进行了最大程度的压缩，因此新文件的大小将大致相同。</v>
      </c>
      <c r="F253" s="3" t="str">
        <f>IFERROR(__xludf.DUMMYFUNCTION("GOOGLETRANSLATE(C253,""en"",""ms"")"),"Video anda telah dimampatkan setakat tetapan ini, jadi fail baharu akan mempunyai saiz yang lebih kurang sama.")</f>
        <v>Video anda telah dimampatkan setakat tetapan ini, jadi fail baharu akan mempunyai saiz yang lebih kurang sama.</v>
      </c>
    </row>
    <row r="254">
      <c r="A254" s="2" t="s">
        <v>599</v>
      </c>
      <c r="B254" s="2" t="s">
        <v>547</v>
      </c>
      <c r="C254" s="2" t="s">
        <v>600</v>
      </c>
      <c r="D254" s="2" t="s">
        <v>601</v>
      </c>
      <c r="E254" s="3" t="str">
        <f>IFERROR(__xludf.DUMMYFUNCTION("GOOGLETRANSLATE(C254,""en"",""zh-CN"")"),"这看起来像是幻灯片或屏幕录像，所以文件大小会进一步缩小。如果主要是摄像机拍摄的视频，请选择{best}。")</f>
        <v>这看起来像是幻灯片或屏幕录像，所以文件大小会进一步缩小。如果主要是摄像机拍摄的视频，请选择{best}。</v>
      </c>
      <c r="F254" s="3" t="str">
        <f>IFERROR(__xludf.DUMMYFUNCTION("GOOGLETRANSLATE(C254,""en"",""ms"")"),"Ini kelihatan seperti slaid atau rakaman skrin, jadi fail tersebut dibuat lebih kecil. Jika kebanyakannya rakaman kamera, pilih {best} sebagai gantinya.")</f>
        <v>Ini kelihatan seperti slaid atau rakaman skrin, jadi fail tersebut dibuat lebih kecil. Jika kebanyakannya rakaman kamera, pilih {best} sebagai gantinya.</v>
      </c>
    </row>
    <row r="255">
      <c r="A255" s="2" t="s">
        <v>602</v>
      </c>
      <c r="B255" s="2" t="s">
        <v>603</v>
      </c>
      <c r="C255" s="2" t="s">
        <v>604</v>
      </c>
      <c r="D255" s="3"/>
      <c r="E255" s="3" t="str">
        <f>IFERROR(__xludf.DUMMYFUNCTION("GOOGLETRANSLATE(C255,""en"",""zh-CN"")"),"值得了解的声音特性")</f>
        <v>值得了解的声音特性</v>
      </c>
      <c r="F255" s="3" t="str">
        <f>IFERROR(__xludf.DUMMYFUNCTION("GOOGLETRANSLATE(C255,""en"",""ms"")"),"Perlu diketahui tentang bunyinya")</f>
        <v>Perlu diketahui tentang bunyinya</v>
      </c>
    </row>
    <row r="256">
      <c r="A256" s="2" t="s">
        <v>605</v>
      </c>
      <c r="B256" s="2" t="s">
        <v>603</v>
      </c>
      <c r="C256" s="2" t="s">
        <v>606</v>
      </c>
      <c r="D256" s="3"/>
      <c r="E256" s="3" t="str">
        <f>IFERROR(__xludf.DUMMYFUNCTION("GOOGLETRANSLATE(C256,""en"",""zh-CN"")"),"值得了解的是，最终的视频效果如何。")</f>
        <v>值得了解的是，最终的视频效果如何。</v>
      </c>
      <c r="F256" s="3" t="str">
        <f>IFERROR(__xludf.DUMMYFUNCTION("GOOGLETRANSLATE(C256,""en"",""ms"")"),"Perlu diketahui tentang video yang telah siap")</f>
        <v>Perlu diketahui tentang video yang telah siap</v>
      </c>
    </row>
    <row r="257">
      <c r="A257" s="2" t="s">
        <v>607</v>
      </c>
      <c r="B257" s="2" t="s">
        <v>603</v>
      </c>
      <c r="C257" s="2" t="s">
        <v>608</v>
      </c>
      <c r="D257" s="3"/>
      <c r="E257" s="3" t="str">
        <f>IFERROR(__xludf.DUMMYFUNCTION("GOOGLETRANSLATE(C257,""en"",""zh-CN"")"),"这些都不会阻止您继续操作。您的原始文件也不会因此而改变。")</f>
        <v>这些都不会阻止您继续操作。您的原始文件也不会因此而改变。</v>
      </c>
      <c r="F257" s="3" t="str">
        <f>IFERROR(__xludf.DUMMYFUNCTION("GOOGLETRANSLATE(C257,""en"",""ms"")"),"Tiada satu pun daripada ini yang menghalang anda daripada meneruskan. Fail asal anda tidak diubah dalam apa jua cara.")</f>
        <v>Tiada satu pun daripada ini yang menghalang anda daripada meneruskan. Fail asal anda tidak diubah dalam apa jua cara.</v>
      </c>
    </row>
    <row r="258">
      <c r="A258" s="2" t="s">
        <v>609</v>
      </c>
      <c r="B258" s="2" t="s">
        <v>610</v>
      </c>
      <c r="C258" s="2" t="s">
        <v>611</v>
      </c>
      <c r="D258" s="2" t="s">
        <v>612</v>
      </c>
      <c r="E258" s="3" t="str">
        <f>IFERROR(__xludf.DUMMYFUNCTION("GOOGLETRANSLATE(C258,""en"",""zh-CN"")"),"{标题}: {标题}。")</f>
        <v>{标题}: {标题}。</v>
      </c>
      <c r="F258" s="3" t="str">
        <f>IFERROR(__xludf.DUMMYFUNCTION("GOOGLETRANSLATE(C258,""en"",""ms"")"),"{tajuk}: {tajuk}.")</f>
        <v>{tajuk}: {tajuk}.</v>
      </c>
    </row>
    <row r="259">
      <c r="A259" s="2" t="s">
        <v>613</v>
      </c>
      <c r="B259" s="2" t="s">
        <v>603</v>
      </c>
      <c r="C259" s="2" t="s">
        <v>614</v>
      </c>
      <c r="D259" s="3"/>
      <c r="E259" s="3" t="str">
        <f>IFERROR(__xludf.DUMMYFUNCTION("GOOGLETRANSLATE(C259,""en"",""zh-CN"")"),"这段视频没有声音。")</f>
        <v>这段视频没有声音。</v>
      </c>
      <c r="F259" s="3" t="str">
        <f>IFERROR(__xludf.DUMMYFUNCTION("GOOGLETRANSLATE(C259,""en"",""ms"")"),"Video ini tiada bunyi")</f>
        <v>Video ini tiada bunyi</v>
      </c>
    </row>
    <row r="260">
      <c r="A260" s="2" t="s">
        <v>615</v>
      </c>
      <c r="B260" s="2" t="s">
        <v>603</v>
      </c>
      <c r="C260" s="2" t="s">
        <v>616</v>
      </c>
      <c r="D260" s="3"/>
      <c r="E260" s="3" t="str">
        <f>IFERROR(__xludf.DUMMYFUNCTION("GOOGLETRANSLATE(C260,""en"",""zh-CN"")"),"由于没有需要调节音量的声音，所以后续工作将在没有声音的情况下进行。如果您需要声音，请在发布前检查录音。")</f>
        <v>由于没有需要调节音量的声音，所以后续工作将在没有声音的情况下进行。如果您需要声音，请在发布前检查录音。</v>
      </c>
      <c r="F260" s="3" t="str">
        <f>IFERROR(__xludf.DUMMYFUNCTION("GOOGLETRANSLATE(C260,""en"",""ms"")"),"Tiada bunyi untuk diratakan, jadi kerja selebihnya berjalan tanpanya. Jika anda menjangkakan bunyi, semak rakaman sebelum menerbitkan.")</f>
        <v>Tiada bunyi untuk diratakan, jadi kerja selebihnya berjalan tanpanya. Jika anda menjangkakan bunyi, semak rakaman sebelum menerbitkan.</v>
      </c>
    </row>
    <row r="261">
      <c r="A261" s="2" t="s">
        <v>617</v>
      </c>
      <c r="B261" s="2" t="s">
        <v>603</v>
      </c>
      <c r="C261" s="2" t="s">
        <v>618</v>
      </c>
      <c r="D261" s="3"/>
      <c r="E261" s="3" t="str">
        <f>IFERROR(__xludf.DUMMYFUNCTION("GOOGLETRANSLATE(C261,""en"",""zh-CN"")"),"声音某些地方可能会失真。")</f>
        <v>声音某些地方可能会失真。</v>
      </c>
      <c r="F261" s="3" t="str">
        <f>IFERROR(__xludf.DUMMYFUNCTION("GOOGLETRANSLATE(C261,""en"",""ms"")"),"Bunyi mungkin terherot di beberapa tempat")</f>
        <v>Bunyi mungkin terherot di beberapa tempat</v>
      </c>
    </row>
    <row r="262">
      <c r="A262" s="2" t="s">
        <v>619</v>
      </c>
      <c r="B262" s="2" t="s">
        <v>603</v>
      </c>
      <c r="C262" s="2" t="s">
        <v>620</v>
      </c>
      <c r="D262" s="3"/>
      <c r="E262" s="3" t="str">
        <f>IFERROR(__xludf.DUMMYFUNCTION("GOOGLETRANSLATE(C262,""en"",""zh-CN"")"),"录音通常会达到最大音量，因此部分音频可能会出现削波失真。这通常意味着麦克风的音量设置过高。虽然电平调整仍在进行，但录音中已存在的失真无法消除。")</f>
        <v>录音通常会达到最大音量，因此部分音频可能会出现削波失真。这通常意味着麦克风的音量设置过高。虽然电平调整仍在进行，但录音中已存在的失真无法消除。</v>
      </c>
      <c r="F262" s="3" t="str">
        <f>IFERROR(__xludf.DUMMYFUNCTION("GOOGLETRANSLATE(C262,""en"",""ms"")"),"Rakaman sering mencapai tahap maksimumnya, jadi sebahagian daripadanya mungkin terpotong. Ini biasanya bermakna mikrofon ditetapkan terlalu tinggi. Penarafan masih berjalan, tetapi herotan yang sedia ada dalam rakaman tidak dapat dialih keluar.")</f>
        <v>Rakaman sering mencapai tahap maksimumnya, jadi sebahagian daripadanya mungkin terpotong. Ini biasanya bermakna mikrofon ditetapkan terlalu tinggi. Penarafan masih berjalan, tetapi herotan yang sedia ada dalam rakaman tidak dapat dialih keluar.</v>
      </c>
    </row>
    <row r="263">
      <c r="A263" s="2" t="s">
        <v>621</v>
      </c>
      <c r="B263" s="2" t="s">
        <v>603</v>
      </c>
      <c r="C263" s="2" t="s">
        <v>622</v>
      </c>
      <c r="D263" s="3"/>
      <c r="E263" s="3" t="str">
        <f>IFERROR(__xludf.DUMMYFUNCTION("GOOGLETRANSLATE(C263,""en"",""zh-CN"")"),"这段录音声音很小。")</f>
        <v>这段录音声音很小。</v>
      </c>
      <c r="F263" s="3" t="str">
        <f>IFERROR(__xludf.DUMMYFUNCTION("GOOGLETRANSLATE(C263,""en"",""ms"")"),"Rakaman ini sangat senyap")</f>
        <v>Rakaman ini sangat senyap</v>
      </c>
    </row>
    <row r="264">
      <c r="A264" s="2" t="s">
        <v>623</v>
      </c>
      <c r="B264" s="2" t="s">
        <v>603</v>
      </c>
      <c r="C264" s="2" t="s">
        <v>624</v>
      </c>
      <c r="D264" s="3"/>
      <c r="E264" s="3" t="str">
        <f>IFERROR(__xludf.DUMMYFUNCTION("GOOGLETRANSLATE(C264,""en"",""zh-CN"")"),"音量远低于舒适的聆听水平。调节音量可以提高音量，但调高轻声细语的音量也会把房间里其他的声音也调高。")</f>
        <v>音量远低于舒适的聆听水平。调节音量可以提高音量，但调高轻声细语的音量也会把房间里其他的声音也调高。</v>
      </c>
      <c r="F264" s="3" t="str">
        <f>IFERROR(__xludf.DUMMYFUNCTION("GOOGLETRANSLATE(C264,""en"",""ms"")"),"Ia jauh di bawah tahap pendengaran yang selesa. Meratakan akan meningkatkannya — tetapi meningkatkan pertuturan yang perlahan juga akan meningkatkan apa sahaja yang ada di dalam bilik.")</f>
        <v>Ia jauh di bawah tahap pendengaran yang selesa. Meratakan akan meningkatkannya — tetapi meningkatkan pertuturan yang perlahan juga akan meningkatkan apa sahaja yang ada di dalam bilik.</v>
      </c>
    </row>
    <row r="265">
      <c r="A265" s="2" t="s">
        <v>625</v>
      </c>
      <c r="B265" s="2" t="s">
        <v>603</v>
      </c>
      <c r="C265" s="2" t="s">
        <v>626</v>
      </c>
      <c r="D265" s="3"/>
      <c r="E265" s="3" t="str">
        <f>IFERROR(__xludf.DUMMYFUNCTION("GOOGLETRANSLATE(C265,""en"",""zh-CN"")"),"音量变化很大")</f>
        <v>音量变化很大</v>
      </c>
      <c r="F265" s="3" t="str">
        <f>IFERROR(__xludf.DUMMYFUNCTION("GOOGLETRANSLATE(C265,""en"",""ms"")"),"Isipadunya banyak berbeza")</f>
        <v>Isipadunya banyak berbeza</v>
      </c>
    </row>
    <row r="266">
      <c r="A266" s="2" t="s">
        <v>627</v>
      </c>
      <c r="B266" s="2" t="s">
        <v>603</v>
      </c>
      <c r="C266" s="2" t="s">
        <v>628</v>
      </c>
      <c r="D266" s="3"/>
      <c r="E266" s="3" t="str">
        <f>IFERROR(__xludf.DUMMYFUNCTION("GOOGLETRANSLATE(C266,""en"",""zh-CN"")"),"音量最大和最小的部分相距甚远。音量校正会逐渐修正缓慢的偏差，速度慢到人耳无法察觉，但句子之间突然出现的差异仍然存在。")</f>
        <v>音量最大和最小的部分相距甚远。音量校正会逐渐修正缓慢的偏差，速度慢到人耳无法察觉，但句子之间突然出现的差异仍然存在。</v>
      </c>
      <c r="F266" s="3" t="str">
        <f>IFERROR(__xludf.DUMMYFUNCTION("GOOGLETRANSLATE(C266,""en"",""ms"")"),"Bahagian yang paling kuat dan paling senyap berada jauh antara satu sama lain. Penarafan membetulkan hanyutan perlahan secara beransur-ansur, terlalu perlahan untuk didengar, tetapi perbezaan mendadak antara ayat akan kekal.")</f>
        <v>Bahagian yang paling kuat dan paling senyap berada jauh antara satu sama lain. Penarafan membetulkan hanyutan perlahan secara beransur-ansur, terlalu perlahan untuk didengar, tetapi perbezaan mendadak antara ayat akan kekal.</v>
      </c>
    </row>
    <row r="267">
      <c r="A267" s="2" t="s">
        <v>629</v>
      </c>
      <c r="B267" s="2" t="s">
        <v>603</v>
      </c>
      <c r="C267" s="2" t="s">
        <v>630</v>
      </c>
      <c r="D267" s="3"/>
      <c r="E267" s="3" t="str">
        <f>IFERROR(__xludf.DUMMYFUNCTION("GOOGLETRANSLATE(C267,""en"",""zh-CN"")"),"可能存在背景噪音")</f>
        <v>可能存在背景噪音</v>
      </c>
      <c r="F267" s="3" t="str">
        <f>IFERROR(__xludf.DUMMYFUNCTION("GOOGLETRANSLATE(C267,""en"",""ms"")"),"Mungkin terdapat bunyi latar belakang")</f>
        <v>Mungkin terdapat bunyi latar belakang</v>
      </c>
    </row>
    <row r="268">
      <c r="A268" s="2" t="s">
        <v>631</v>
      </c>
      <c r="B268" s="2" t="s">
        <v>603</v>
      </c>
      <c r="C268" s="2" t="s">
        <v>632</v>
      </c>
      <c r="D268" s="3"/>
      <c r="E268" s="3" t="str">
        <f>IFERROR(__xludf.DUMMYFUNCTION("GOOGLETRANSLATE(C268,""en"",""zh-CN"")"),"即使最安静的时刻也难免会有一些声音——风扇声、空调声，或是嘈杂的房间声。这个工具并不能消除噪音，而且提高语音音量也会使背景噪音增大。")</f>
        <v>即使最安静的时刻也难免会有一些声音——风扇声、空调声，或是嘈杂的房间声。这个工具并不能消除噪音，而且提高语音音量也会使背景噪音增大。</v>
      </c>
      <c r="F268" s="3" t="str">
        <f>IFERROR(__xludf.DUMMYFUNCTION("GOOGLETRANSLATE(C268,""en"",""ms"")"),"Walaupun saat-saat paling sunyi, bunyi tetap ada — kipas, penghawa dingin atau bilik yang bising. Alat ini tidak dapat menghilangkan bunyi bising, dan menjadikan pertuturan lebih kuat akan menjadikan latar belakang lebih kuat bersamanya.")</f>
        <v>Walaupun saat-saat paling sunyi, bunyi tetap ada — kipas, penghawa dingin atau bilik yang bising. Alat ini tidak dapat menghilangkan bunyi bising, dan menjadikan pertuturan lebih kuat akan menjadikan latar belakang lebih kuat bersamanya.</v>
      </c>
    </row>
    <row r="269">
      <c r="A269" s="2" t="s">
        <v>633</v>
      </c>
      <c r="B269" s="2" t="s">
        <v>603</v>
      </c>
      <c r="C269" s="2" t="s">
        <v>634</v>
      </c>
      <c r="D269" s="3"/>
      <c r="E269" s="3" t="str">
        <f>IFERROR(__xludf.DUMMYFUNCTION("GOOGLETRANSLATE(C269,""en"",""zh-CN"")"),"有一段漫长的寂静时期。")</f>
        <v>有一段漫长的寂静时期。</v>
      </c>
      <c r="F269" s="3" t="str">
        <f>IFERROR(__xludf.DUMMYFUNCTION("GOOGLETRANSLATE(C269,""en"",""ms"")"),"Terdapat peregangan senyap yang panjang")</f>
        <v>Terdapat peregangan senyap yang panjang</v>
      </c>
    </row>
    <row r="270">
      <c r="A270" s="2" t="s">
        <v>635</v>
      </c>
      <c r="B270" s="2" t="s">
        <v>603</v>
      </c>
      <c r="C270" s="2" t="s">
        <v>636</v>
      </c>
      <c r="D270" s="2" t="s">
        <v>203</v>
      </c>
      <c r="E270" s="3" t="str">
        <f>IFERROR(__xludf.DUMMYFUNCTION("GOOGLETRANSLATE(C270,""en"",""zh-CN"")"),"在一段连续的录音中，大约有{duration}的近乎静音的时间。如果这是有意为之，则没有问题。如果不是，建议在发布前检查一下录音。")</f>
        <v>在一段连续的录音中，大约有{duration}的近乎静音的时间。如果这是有意为之，则没有问题。如果不是，建议在发布前检查一下录音。</v>
      </c>
      <c r="F270" s="3" t="str">
        <f>IFERROR(__xludf.DUMMYFUNCTION("GOOGLETRANSLATE(C270,""en"",""ms"")"),"Lebih kurang {duration} hampir senyap dalam satu larian berterusan. Jika itu disengajakan, tiada apa yang salah. Jika tidak, adalah wajar untuk menyemak rakaman sebelum anda menerbitkannya.")</f>
        <v>Lebih kurang {duration} hampir senyap dalam satu larian berterusan. Jika itu disengajakan, tiada apa yang salah. Jika tidak, adalah wajar untuk menyemak rakaman sebelum anda menerbitkannya.</v>
      </c>
    </row>
    <row r="271">
      <c r="A271" s="2" t="s">
        <v>637</v>
      </c>
      <c r="B271" s="2" t="s">
        <v>603</v>
      </c>
      <c r="C271" s="2" t="s">
        <v>638</v>
      </c>
      <c r="D271" s="3"/>
      <c r="E271" s="3" t="str">
        <f>IFERROR(__xludf.DUMMYFUNCTION("GOOGLETRANSLATE(C271,""en"",""zh-CN"")"),"最终的音质还没有达到通常的水平。")</f>
        <v>最终的音质还没有达到通常的水平。</v>
      </c>
      <c r="F271" s="3" t="str">
        <f>IFERROR(__xludf.DUMMYFUNCTION("GOOGLETRANSLATE(C271,""en"",""ms"")"),"Bunyi yang telah siap tidak berada pada tahap biasa")</f>
        <v>Bunyi yang telah siap tidak berada pada tahap biasa</v>
      </c>
    </row>
    <row r="272">
      <c r="A272" s="2" t="s">
        <v>639</v>
      </c>
      <c r="B272" s="2" t="s">
        <v>603</v>
      </c>
      <c r="C272" s="2" t="s">
        <v>640</v>
      </c>
      <c r="D272" s="3"/>
      <c r="E272" s="3" t="str">
        <f>IFERROR(__xludf.DUMMYFUNCTION("GOOGLETRANSLATE(C272,""en"",""zh-CN"")"),"视频播放没问题；只是听起来可能比用这个工具调音的其他视频略微安静或响亮一些。")</f>
        <v>视频播放没问题；只是听起来可能比用这个工具调音的其他视频略微安静或响亮一些。</v>
      </c>
      <c r="F272" s="3" t="str">
        <f>IFERROR(__xludf.DUMMYFUNCTION("GOOGLETRANSLATE(C272,""en"",""ms"")"),"Video ini bagus untuk digunakan; cuma ia mungkin kedengaran sedikit lebih senyap atau lebih kuat daripada video lain yang diratakan dengan alat ini.")</f>
        <v>Video ini bagus untuk digunakan; cuma ia mungkin kedengaran sedikit lebih senyap atau lebih kuat daripada video lain yang diratakan dengan alat ini.</v>
      </c>
    </row>
    <row r="273">
      <c r="A273" s="2" t="s">
        <v>641</v>
      </c>
      <c r="B273" s="2" t="s">
        <v>603</v>
      </c>
      <c r="C273" s="2" t="s">
        <v>642</v>
      </c>
      <c r="D273" s="3"/>
      <c r="E273" s="3" t="str">
        <f>IFERROR(__xludf.DUMMYFUNCTION("GOOGLETRANSLATE(C273,""en"",""zh-CN"")"),"无法复制文件的标题和日期。")</f>
        <v>无法复制文件的标题和日期。</v>
      </c>
      <c r="F273" s="3" t="str">
        <f>IFERROR(__xludf.DUMMYFUNCTION("GOOGLETRANSLATE(C273,""en"",""ms"")"),"Tajuk dan tarikh fail tidak dapat disalin")</f>
        <v>Tajuk dan tarikh fail tidak dapat disalin</v>
      </c>
    </row>
    <row r="274">
      <c r="A274" s="2" t="s">
        <v>643</v>
      </c>
      <c r="B274" s="2" t="s">
        <v>603</v>
      </c>
      <c r="C274" s="2" t="s">
        <v>644</v>
      </c>
      <c r="D274" s="3"/>
      <c r="E274" s="3" t="str">
        <f>IFERROR(__xludf.DUMMYFUNCTION("GOOGLETRANSLATE(C274,""en"",""zh-CN"")"),"图片和声音不受影响。如果您的原文件包含标题、作者或日期，新文件中将不会包含这些信息——您仍然可以在上传文件时自行添加。")</f>
        <v>图片和声音不受影响。如果您的原文件包含标题、作者或日期，新文件中将不会包含这些信息——您仍然可以在上传文件时自行添加。</v>
      </c>
      <c r="F274" s="3" t="str">
        <f>IFERROR(__xludf.DUMMYFUNCTION("GOOGLETRANSLATE(C274,""en"",""ms"")"),"Gambar dan bunyi tidak terjejas. Jika fail asal anda mempunyai tajuk, pengarang atau tarikh, fail baharu tidak akan mempunyainya — anda masih boleh menambahkannya di mana sahaja anda memuat naiknya.")</f>
        <v>Gambar dan bunyi tidak terjejas. Jika fail asal anda mempunyai tajuk, pengarang atau tarikh, fail baharu tidak akan mempunyainya — anda masih boleh menambahkannya di mana sahaja anda memuat naiknya.</v>
      </c>
    </row>
    <row r="275">
      <c r="A275" s="2" t="s">
        <v>645</v>
      </c>
      <c r="B275" s="2" t="s">
        <v>610</v>
      </c>
      <c r="C275" s="2" t="s">
        <v>646</v>
      </c>
      <c r="D275" s="2" t="s">
        <v>647</v>
      </c>
      <c r="E275" s="3" t="str">
        <f>IFERROR(__xludf.DUMMYFUNCTION("GOOGLETRANSLATE(C275,""en"",""zh-CN"")"),"关于新文件的内容，需要了解一点。")</f>
        <v>关于新文件的内容，需要了解一点。</v>
      </c>
      <c r="F275" s="3" t="str">
        <f>IFERROR(__xludf.DUMMYFUNCTION("GOOGLETRANSLATE(C275,""en"",""ms"")"),"Satu perkara yang perlu diketahui tentang apa yang masuk ke dalam fail baharu.")</f>
        <v>Satu perkara yang perlu diketahui tentang apa yang masuk ke dalam fail baharu.</v>
      </c>
    </row>
    <row r="276">
      <c r="A276" s="2" t="s">
        <v>648</v>
      </c>
      <c r="B276" s="2" t="s">
        <v>610</v>
      </c>
      <c r="C276" s="2" t="s">
        <v>649</v>
      </c>
      <c r="D276" s="2" t="s">
        <v>524</v>
      </c>
      <c r="E276" s="3" t="str">
        <f>IFERROR(__xludf.DUMMYFUNCTION("GOOGLETRANSLATE(C276,""en"",""zh-CN"")"),"关于新文件的内容，有两件事需要了解。")</f>
        <v>关于新文件的内容，有两件事需要了解。</v>
      </c>
      <c r="F276" s="3" t="str">
        <f>IFERROR(__xludf.DUMMYFUNCTION("GOOGLETRANSLATE(C276,""en"",""ms"")"),"Dua perkara yang perlu diketahui tentang apa yang dimasukkan ke dalam fail baharu.")</f>
        <v>Dua perkara yang perlu diketahui tentang apa yang dimasukkan ke dalam fail baharu.</v>
      </c>
    </row>
    <row r="277">
      <c r="A277" s="2" t="s">
        <v>650</v>
      </c>
      <c r="B277" s="2" t="s">
        <v>610</v>
      </c>
      <c r="C277" s="2" t="s">
        <v>651</v>
      </c>
      <c r="D277" s="2" t="s">
        <v>527</v>
      </c>
      <c r="E277" s="3" t="str">
        <f>IFERROR(__xludf.DUMMYFUNCTION("GOOGLETRANSLATE(C277,""en"",""zh-CN"")"),"关于新文件的内容，你需要了解三件事。")</f>
        <v>关于新文件的内容，你需要了解三件事。</v>
      </c>
      <c r="F277" s="3" t="str">
        <f>IFERROR(__xludf.DUMMYFUNCTION("GOOGLETRANSLATE(C277,""en"",""ms"")"),"Tiga perkara yang perlu diketahui tentang apa yang dimasukkan ke dalam fail baharu.")</f>
        <v>Tiga perkara yang perlu diketahui tentang apa yang dimasukkan ke dalam fail baharu.</v>
      </c>
    </row>
    <row r="278">
      <c r="A278" s="2" t="s">
        <v>652</v>
      </c>
      <c r="B278" s="2" t="s">
        <v>610</v>
      </c>
      <c r="C278" s="2" t="s">
        <v>653</v>
      </c>
      <c r="D278" s="2" t="s">
        <v>530</v>
      </c>
      <c r="E278" s="3" t="str">
        <f>IFERROR(__xludf.DUMMYFUNCTION("GOOGLETRANSLATE(C278,""en"",""zh-CN"")"),"关于新文件的内容，你需要了解以下四点。")</f>
        <v>关于新文件的内容，你需要了解以下四点。</v>
      </c>
      <c r="F278" s="3" t="str">
        <f>IFERROR(__xludf.DUMMYFUNCTION("GOOGLETRANSLATE(C278,""en"",""ms"")"),"Empat perkara yang perlu diketahui tentang apa yang dimasukkan ke dalam fail baharu.")</f>
        <v>Empat perkara yang perlu diketahui tentang apa yang dimasukkan ke dalam fail baharu.</v>
      </c>
    </row>
    <row r="279">
      <c r="A279" s="2" t="s">
        <v>654</v>
      </c>
      <c r="B279" s="2" t="s">
        <v>610</v>
      </c>
      <c r="C279" s="2" t="s">
        <v>655</v>
      </c>
      <c r="D279" s="2" t="s">
        <v>656</v>
      </c>
      <c r="E279" s="3" t="str">
        <f>IFERROR(__xludf.DUMMYFUNCTION("GOOGLETRANSLATE(C279,""en"",""zh-CN"")"),"关于新文件的内容，你需要了解的{count}件事。")</f>
        <v>关于新文件的内容，你需要了解的{count}件事。</v>
      </c>
      <c r="F279" s="3" t="str">
        <f>IFERROR(__xludf.DUMMYFUNCTION("GOOGLETRANSLATE(C279,""en"",""ms"")"),"{count} perkara yang perlu diketahui tentang apa yang dimasukkan ke dalam fail baharu.")</f>
        <v>{count} perkara yang perlu diketahui tentang apa yang dimasukkan ke dalam fail baharu.</v>
      </c>
    </row>
    <row r="280">
      <c r="A280" s="2" t="s">
        <v>657</v>
      </c>
      <c r="B280" s="2" t="s">
        <v>610</v>
      </c>
      <c r="C280" s="2" t="s">
        <v>658</v>
      </c>
      <c r="D280" s="2" t="s">
        <v>659</v>
      </c>
      <c r="E280" s="3" t="str">
        <f>IFERROR(__xludf.DUMMYFUNCTION("GOOGLETRANSLATE(C280,""en"",""zh-CN"")"),"{标题}. {详情}")</f>
        <v>{标题}. {详情}</v>
      </c>
      <c r="F280" s="3" t="str">
        <f>IFERROR(__xludf.DUMMYFUNCTION("GOOGLETRANSLATE(C280,""en"",""ms"")"),"{tajuk}. {perincian}")</f>
        <v>{tajuk}. {perincian}</v>
      </c>
    </row>
    <row r="281">
      <c r="A281" s="2" t="s">
        <v>660</v>
      </c>
      <c r="B281" s="2" t="s">
        <v>661</v>
      </c>
      <c r="C281" s="2" t="s">
        <v>662</v>
      </c>
      <c r="D281" s="3"/>
      <c r="E281" s="3" t="str">
        <f>IFERROR(__xludf.DUMMYFUNCTION("GOOGLETRANSLATE(C281,""en"",""zh-CN"")"),"您的原始文件未被更改。")</f>
        <v>您的原始文件未被更改。</v>
      </c>
      <c r="F281" s="3" t="str">
        <f>IFERROR(__xludf.DUMMYFUNCTION("GOOGLETRANSLATE(C281,""en"",""ms"")"),"Fail asal anda tidak diubah.")</f>
        <v>Fail asal anda tidak diubah.</v>
      </c>
    </row>
    <row r="282">
      <c r="A282" s="2" t="s">
        <v>663</v>
      </c>
      <c r="B282" s="2" t="s">
        <v>661</v>
      </c>
      <c r="C282" s="2" t="s">
        <v>664</v>
      </c>
      <c r="D282" s="3"/>
      <c r="E282" s="3" t="str">
        <f>IFERROR(__xludf.DUMMYFUNCTION("GOOGLETRANSLATE(C282,""en"",""zh-CN"")"),"此文件无法作为视频读取。")</f>
        <v>此文件无法作为视频读取。</v>
      </c>
      <c r="F282" s="3" t="str">
        <f>IFERROR(__xludf.DUMMYFUNCTION("GOOGLETRANSLATE(C282,""en"",""ms"")"),"Fail ini tidak dapat dibaca sebagai video.")</f>
        <v>Fail ini tidak dapat dibaca sebagai video.</v>
      </c>
    </row>
    <row r="283">
      <c r="A283" s="2" t="s">
        <v>665</v>
      </c>
      <c r="B283" s="2" t="s">
        <v>661</v>
      </c>
      <c r="C283" s="2" t="s">
        <v>666</v>
      </c>
      <c r="D283" s="3"/>
      <c r="E283" s="3" t="str">
        <f>IFERROR(__xludf.DUMMYFUNCTION("GOOGLETRANSLATE(C283,""en"",""zh-CN"")"),"此文件无法作为视频文件读取。它必须是视频文件——文件名以 .mp4、.mov、.mkv 或 .webm 结尾——并且可能已损坏。")</f>
        <v>此文件无法作为视频文件读取。它必须是视频文件——文件名以 .mp4、.mov、.mkv 或 .webm 结尾——并且可能已损坏。</v>
      </c>
      <c r="F283" s="3" t="str">
        <f>IFERROR(__xludf.DUMMYFUNCTION("GOOGLETRANSLATE(C283,""en"",""ms"")"),"Fail ini tidak dapat dibaca sebagai video. Ia perlu fail video — yang namanya berakhir dengan .mp4, .mov, .mkv atau .webm — dan ia mungkin rosak.")</f>
        <v>Fail ini tidak dapat dibaca sebagai video. Ia perlu fail video — yang namanya berakhir dengan .mp4, .mov, .mkv atau .webm — dan ia mungkin rosak.</v>
      </c>
    </row>
    <row r="284">
      <c r="A284" s="2" t="s">
        <v>667</v>
      </c>
      <c r="B284" s="2" t="s">
        <v>661</v>
      </c>
      <c r="C284" s="2" t="s">
        <v>668</v>
      </c>
      <c r="D284" s="3"/>
      <c r="E284" s="3" t="str">
        <f>IFERROR(__xludf.DUMMYFUNCTION("GOOGLETRANSLATE(C284,""en"",""zh-CN"")"),"此文件包含声音但没有视频。此工具用于在视频中添加品牌标识，因此需要包含图片的文档。")</f>
        <v>此文件包含声音但没有视频。此工具用于在视频中添加品牌标识，因此需要包含图片的文档。</v>
      </c>
      <c r="F284" s="3" t="str">
        <f>IFERROR(__xludf.DUMMYFUNCTION("GOOGLETRANSLATE(C284,""en"",""ms"")"),"Fail ini mempunyai bunyi tetapi tiada video. Alat ini menambah penjenamaan pada video, jadi ia memerlukan fail dengan gambar.")</f>
        <v>Fail ini mempunyai bunyi tetapi tiada video. Alat ini menambah penjenamaan pada video, jadi ia memerlukan fail dengan gambar.</v>
      </c>
    </row>
    <row r="285">
      <c r="A285" s="2" t="s">
        <v>669</v>
      </c>
      <c r="B285" s="2" t="s">
        <v>661</v>
      </c>
      <c r="C285" s="2" t="s">
        <v>670</v>
      </c>
      <c r="D285" s="3"/>
      <c r="E285" s="3" t="str">
        <f>IFERROR(__xludf.DUMMYFUNCTION("GOOGLETRANSLATE(C285,""en"",""zh-CN"")"),"此文件中未找到视频或音频。文件可能不完整，或者保存方式不正确。")</f>
        <v>此文件中未找到视频或音频。文件可能不完整，或者保存方式不正确。</v>
      </c>
      <c r="F285" s="3" t="str">
        <f>IFERROR(__xludf.DUMMYFUNCTION("GOOGLETRANSLATE(C285,""en"",""ms"")"),"Tiada video atau bunyi ditemui dalam fail ini. Ia mungkin tidak lengkap atau mungkin telah disimpan secara salah.")</f>
        <v>Tiada video atau bunyi ditemui dalam fail ini. Ia mungkin tidak lengkap atau mungkin telah disimpan secara salah.</v>
      </c>
    </row>
    <row r="286">
      <c r="A286" s="2" t="s">
        <v>671</v>
      </c>
      <c r="B286" s="2" t="s">
        <v>661</v>
      </c>
      <c r="C286" s="2" t="s">
        <v>672</v>
      </c>
      <c r="D286" s="3"/>
      <c r="E286" s="3" t="str">
        <f>IFERROR(__xludf.DUMMYFUNCTION("GOOGLETRANSLATE(C286,""en"",""zh-CN"")"),"读取此文件时出错。文件可能已损坏，或者格式与此工具不兼容。")</f>
        <v>读取此文件时出错。文件可能已损坏，或者格式与此工具不兼容。</v>
      </c>
      <c r="F286" s="3" t="str">
        <f>IFERROR(__xludf.DUMMYFUNCTION("GOOGLETRANSLATE(C286,""en"",""ms"")"),"Sesuatu telah berlaku semasa membaca fail ini. Ia mungkin rosak atau dalam format yang tidak dapat dibaca oleh alat ini.")</f>
        <v>Sesuatu telah berlaku semasa membaca fail ini. Ia mungkin rosak atau dalam format yang tidak dapat dibaca oleh alat ini.</v>
      </c>
    </row>
    <row r="287">
      <c r="A287" s="2" t="s">
        <v>673</v>
      </c>
      <c r="B287" s="2" t="s">
        <v>661</v>
      </c>
      <c r="C287" s="2" t="s">
        <v>674</v>
      </c>
      <c r="D287" s="3"/>
      <c r="E287" s="3" t="str">
        <f>IFERROR(__xludf.DUMMYFUNCTION("GOOGLETRANSLATE(C287,""en"",""zh-CN"")"),"读取此文件耗时比预期长，或者该工具遇到了问题。")</f>
        <v>读取此文件耗时比预期长，或者该工具遇到了问题。</v>
      </c>
      <c r="F287" s="3" t="str">
        <f>IFERROR(__xludf.DUMMYFUNCTION("GOOGLETRANSLATE(C287,""en"",""ms"")"),"Membaca fail ini mengambil masa lebih lama daripada yang dijangkakan, atau alat tersebut menghadapi masalah.")</f>
        <v>Membaca fail ini mengambil masa lebih lama daripada yang dijangkakan, atau alat tersebut menghadapi masalah.</v>
      </c>
    </row>
    <row r="288">
      <c r="A288" s="2" t="s">
        <v>675</v>
      </c>
      <c r="B288" s="2" t="s">
        <v>661</v>
      </c>
      <c r="C288" s="2" t="s">
        <v>676</v>
      </c>
      <c r="D288" s="3"/>
      <c r="E288" s="3" t="str">
        <f>IFERROR(__xludf.DUMMYFUNCTION("GOOGLETRANSLATE(C288,""en"",""zh-CN"")"),"请选择其他文件，或者使用创建该文件的应用程序将其另存为文件名以 .mp4 结尾的文件。")</f>
        <v>请选择其他文件，或者使用创建该文件的应用程序将其另存为文件名以 .mp4 结尾的文件。</v>
      </c>
      <c r="F288" s="3" t="str">
        <f>IFERROR(__xludf.DUMMYFUNCTION("GOOGLETRANSLATE(C288,""en"",""ms"")"),"Pilih fail lain atau simpan fail ini sekali lagi daripada aplikasi yang membuatnya, sebagai fail yang namanya berakhir dengan .mp4.")</f>
        <v>Pilih fail lain atau simpan fail ini sekali lagi daripada aplikasi yang membuatnya, sebagai fail yang namanya berakhir dengan .mp4.</v>
      </c>
    </row>
    <row r="289">
      <c r="A289" s="2" t="s">
        <v>677</v>
      </c>
      <c r="B289" s="2" t="s">
        <v>661</v>
      </c>
      <c r="C289" s="2" t="s">
        <v>678</v>
      </c>
      <c r="D289" s="3"/>
      <c r="E289" s="3" t="str">
        <f>IFERROR(__xludf.DUMMYFUNCTION("GOOGLETRANSLATE(C289,""en"",""zh-CN"")"),"开始时间和结束时间无法使用。")</f>
        <v>开始时间和结束时间无法使用。</v>
      </c>
      <c r="F289" s="3" t="str">
        <f>IFERROR(__xludf.DUMMYFUNCTION("GOOGLETRANSLATE(C289,""en"",""ms"")"),"Waktu mula dan tamat tidak dapat digunakan.")</f>
        <v>Waktu mula dan tamat tidak dapat digunakan.</v>
      </c>
    </row>
    <row r="290">
      <c r="A290" s="2" t="s">
        <v>679</v>
      </c>
      <c r="B290" s="2" t="s">
        <v>661</v>
      </c>
      <c r="C290" s="2" t="s">
        <v>680</v>
      </c>
      <c r="D290" s="3"/>
      <c r="E290" s="3" t="str">
        <f>IFERROR(__xludf.DUMMYFUNCTION("GOOGLETRANSLATE(C290,""en"",""zh-CN"")"),"在步骤 2 中正确设置开始时间和结束时间，然后重试。")</f>
        <v>在步骤 2 中正确设置开始时间和结束时间，然后重试。</v>
      </c>
      <c r="F290" s="3" t="str">
        <f>IFERROR(__xludf.DUMMYFUNCTION("GOOGLETRANSLATE(C290,""en"",""ms"")"),"Letakkan masa mula dan tamat dengan betul dalam langkah 2 dan cuba lagi.")</f>
        <v>Letakkan masa mula dan tamat dengan betul dalam langkah 2 dan cuba lagi.</v>
      </c>
    </row>
    <row r="291">
      <c r="A291" s="2" t="s">
        <v>681</v>
      </c>
      <c r="B291" s="2" t="s">
        <v>661</v>
      </c>
      <c r="C291" s="2" t="s">
        <v>682</v>
      </c>
      <c r="D291" s="3"/>
      <c r="E291" s="3" t="str">
        <f>IFERROR(__xludf.DUMMYFUNCTION("GOOGLETRANSLATE(C291,""en"",""zh-CN"")"),"由于这段录音的声音无法达到正常水平，所以没有制作视频。")</f>
        <v>由于这段录音的声音无法达到正常水平，所以没有制作视频。</v>
      </c>
      <c r="F291" s="3" t="str">
        <f>IFERROR(__xludf.DUMMYFUNCTION("GOOGLETRANSLATE(C291,""en"",""ms"")"),"Bunyi rakaman ini tidak dapat dibawa ke tahap biasa, jadi video itu tidak dibuat.")</f>
        <v>Bunyi rakaman ini tidak dapat dibawa ke tahap biasa, jadi video itu tidak dibuat.</v>
      </c>
    </row>
    <row r="292">
      <c r="A292" s="2" t="s">
        <v>683</v>
      </c>
      <c r="B292" s="2" t="s">
        <v>661</v>
      </c>
      <c r="C292" s="2" t="s">
        <v>684</v>
      </c>
      <c r="D292" s="3"/>
      <c r="E292" s="3" t="str">
        <f>IFERROR(__xludf.DUMMYFUNCTION("GOOGLETRANSLATE(C292,""en"",""zh-CN"")"),"请使用“发送反馈”按钮进行报告——您提供的详细信息将有所帮助。")</f>
        <v>请使用“发送反馈”按钮进行报告——您提供的详细信息将有所帮助。</v>
      </c>
      <c r="F292" s="3" t="str">
        <f>IFERROR(__xludf.DUMMYFUNCTION("GOOGLETRANSLATE(C292,""en"",""ms"")"),"Laporkannya dengan butang Hantar maklum balas — butiran yang ditambahkannya akan membantu.")</f>
        <v>Laporkannya dengan butang Hantar maklum balas — butiran yang ditambahkannya akan membantu.</v>
      </c>
    </row>
    <row r="293">
      <c r="A293" s="2" t="s">
        <v>685</v>
      </c>
      <c r="B293" s="2" t="s">
        <v>661</v>
      </c>
      <c r="C293" s="2" t="s">
        <v>686</v>
      </c>
      <c r="D293" s="3"/>
      <c r="E293" s="3" t="str">
        <f>IFERROR(__xludf.DUMMYFUNCTION("GOOGLETRANSLATE(C293,""en"",""zh-CN"")"),"最终录制的声音没有达到正常水平，所以视频没有保留。")</f>
        <v>最终录制的声音没有达到正常水平，所以视频没有保留。</v>
      </c>
      <c r="F293" s="3" t="str">
        <f>IFERROR(__xludf.DUMMYFUNCTION("GOOGLETRANSLATE(C293,""en"",""ms"")"),"Bunyi yang telah siap tidak keluar pada tahap biasa, jadi video itu tidak dapat disimpan.")</f>
        <v>Bunyi yang telah siap tidak keluar pada tahap biasa, jadi video itu tidak dapat disimpan.</v>
      </c>
    </row>
    <row r="294">
      <c r="A294" s="2" t="s">
        <v>687</v>
      </c>
      <c r="B294" s="2" t="s">
        <v>661</v>
      </c>
      <c r="C294" s="2" t="s">
        <v>688</v>
      </c>
      <c r="D294" s="3"/>
      <c r="E294" s="3" t="str">
        <f>IFERROR(__xludf.DUMMYFUNCTION("GOOGLETRANSLATE(C294,""en"",""zh-CN"")"),"最终录制的声音在峰值处音量过大，因此视频没有保留。")</f>
        <v>最终录制的声音在峰值处音量过大，因此视频没有保留。</v>
      </c>
      <c r="F294" s="3" t="str">
        <f>IFERROR(__xludf.DUMMYFUNCTION("GOOGLETRANSLATE(C294,""en"",""ms"")"),"Bunyi yang telah siap kedengaran lebih kuat pada kemuncaknya daripada yang dibenarkan, jadi video itu tidak disimpan.")</f>
        <v>Bunyi yang telah siap kedengaran lebih kuat pada kemuncaknya daripada yang dibenarkan, jadi video itu tidak disimpan.</v>
      </c>
    </row>
    <row r="295">
      <c r="A295" s="2" t="s">
        <v>689</v>
      </c>
      <c r="B295" s="2" t="s">
        <v>661</v>
      </c>
      <c r="C295" s="2" t="s">
        <v>690</v>
      </c>
      <c r="D295" s="3"/>
      <c r="E295" s="3" t="str">
        <f>IFERROR(__xludf.DUMMYFUNCTION("GOOGLETRANSLATE(C295,""en"",""zh-CN"")"),"由于制作完成的视频无法回放，因此没有保存。")</f>
        <v>由于制作完成的视频无法回放，因此没有保存。</v>
      </c>
      <c r="F295" s="3" t="str">
        <f>IFERROR(__xludf.DUMMYFUNCTION("GOOGLETRANSLATE(C295,""en"",""ms"")"),"Video yang telah siap tidak dapat dibaca semula, jadi ia tidak disimpan.")</f>
        <v>Video yang telah siap tidak dapat dibaca semula, jadi ia tidak disimpan.</v>
      </c>
    </row>
    <row r="296">
      <c r="A296" s="2" t="s">
        <v>691</v>
      </c>
      <c r="B296" s="2" t="s">
        <v>661</v>
      </c>
      <c r="C296" s="2" t="s">
        <v>692</v>
      </c>
      <c r="D296" s="3"/>
      <c r="E296" s="3" t="str">
        <f>IFERROR(__xludf.DUMMYFUNCTION("GOOGLETRANSLATE(C296,""en"",""zh-CN"")"),"该设备运行到一半时工作空间不足了。")</f>
        <v>该设备运行到一半时工作空间不足了。</v>
      </c>
      <c r="F296" s="3" t="str">
        <f>IFERROR(__xludf.DUMMYFUNCTION("GOOGLETRANSLATE(C296,""en"",""ms"")"),"Peranti ini kehabisan ruang kerja di pertengahan jalan.")</f>
        <v>Peranti ini kehabisan ruang kerja di pertengahan jalan.</v>
      </c>
    </row>
    <row r="297">
      <c r="A297" s="2" t="s">
        <v>693</v>
      </c>
      <c r="B297" s="2" t="s">
        <v>661</v>
      </c>
      <c r="C297" s="2" t="s">
        <v>694</v>
      </c>
      <c r="D297" s="2" t="s">
        <v>381</v>
      </c>
      <c r="E297" s="3" t="str">
        <f>IFERROR(__xludf.DUMMYFUNCTION("GOOGLETRANSLATE(C297,""en"",""zh-CN"")"),"腾出一些空间，或者选择{较小的}，然后重试。")</f>
        <v>腾出一些空间，或者选择{较小的}，然后重试。</v>
      </c>
      <c r="F297" s="3" t="str">
        <f>IFERROR(__xludf.DUMMYFUNCTION("GOOGLETRANSLATE(C297,""en"",""ms"")"),"Kosongkan sedikit ruang atau pilih {smaller} dan cuba lagi.")</f>
        <v>Kosongkan sedikit ruang atau pilih {smaller} dan cuba lagi.</v>
      </c>
    </row>
    <row r="298">
      <c r="A298" s="2" t="s">
        <v>695</v>
      </c>
      <c r="B298" s="2" t="s">
        <v>661</v>
      </c>
      <c r="C298" s="2" t="s">
        <v>696</v>
      </c>
      <c r="D298" s="3"/>
      <c r="E298" s="3" t="str">
        <f>IFERROR(__xludf.DUMMYFUNCTION("GOOGLETRANSLATE(C298,""en"",""zh-CN"")"),"这个浏览器在视频编码过程中停止了。")</f>
        <v>这个浏览器在视频编码过程中停止了。</v>
      </c>
      <c r="F298" s="3" t="str">
        <f>IFERROR(__xludf.DUMMYFUNCTION("GOOGLETRANSLATE(C298,""en"",""ms"")"),"Pelayar ini berhenti mengekod video di pertengahan jalan.")</f>
        <v>Pelayar ini berhenti mengekod video di pertengahan jalan.</v>
      </c>
    </row>
    <row r="299">
      <c r="A299" s="2" t="s">
        <v>697</v>
      </c>
      <c r="B299" s="2" t="s">
        <v>661</v>
      </c>
      <c r="C299" s="2" t="s">
        <v>698</v>
      </c>
      <c r="D299" s="3"/>
      <c r="E299" s="3" t="str">
        <f>IFERROR(__xludf.DUMMYFUNCTION("GOOGLETRANSLATE(C299,""en"",""zh-CN"")"),"请尝试“文件大小/质量”下的其他输出选项。如果问题再次出现，请点击“发送反馈”按钮进行报告——您提供的详细信息将有助于我们解决问题。")</f>
        <v>请尝试“文件大小/质量”下的其他输出选项。如果问题再次出现，请点击“发送反馈”按钮进行报告——您提供的详细信息将有助于我们解决问题。</v>
      </c>
      <c r="F299" s="3" t="str">
        <f>IFERROR(__xludf.DUMMYFUNCTION("GOOGLETRANSLATE(C299,""en"",""ms"")"),"Cuba output lain di bawah Saiz fail / kualiti. Jika ia berlaku lagi, laporkannya dengan butang Hantar maklum balas — butiran yang ditambahkan akan membantu.")</f>
        <v>Cuba output lain di bawah Saiz fail / kualiti. Jika ia berlaku lagi, laporkannya dengan butang Hantar maklum balas — butiran yang ditambahkan akan membantu.</v>
      </c>
    </row>
    <row r="300">
      <c r="A300" s="2" t="s">
        <v>699</v>
      </c>
      <c r="B300" s="2" t="s">
        <v>661</v>
      </c>
      <c r="C300" s="2" t="s">
        <v>700</v>
      </c>
      <c r="D300" s="3"/>
      <c r="E300" s="3" t="str">
        <f>IFERROR(__xludf.DUMMYFUNCTION("GOOGLETRANSLATE(C300,""en"",""zh-CN"")"),"设备检查未完成。")</f>
        <v>设备检查未完成。</v>
      </c>
      <c r="F300" s="3" t="str">
        <f>IFERROR(__xludf.DUMMYFUNCTION("GOOGLETRANSLATE(C300,""en"",""ms"")"),"Pemeriksaan peranti tidak selesai.")</f>
        <v>Pemeriksaan peranti tidak selesai.</v>
      </c>
    </row>
    <row r="301">
      <c r="A301" s="2" t="s">
        <v>701</v>
      </c>
      <c r="B301" s="2" t="s">
        <v>661</v>
      </c>
      <c r="C301" s="2" t="s">
        <v>702</v>
      </c>
      <c r="D301" s="3"/>
      <c r="E301" s="3" t="str">
        <f>IFERROR(__xludf.DUMMYFUNCTION("GOOGLETRANSLATE(C301,""en"",""zh-CN"")"),"再次点击“检查”按钮重新运行一次。如果仍然失败，请点击“发送反馈”按钮报告问题。")</f>
        <v>再次点击“检查”按钮重新运行一次。如果仍然失败，请点击“发送反馈”按钮报告问题。</v>
      </c>
      <c r="F301" s="3" t="str">
        <f>IFERROR(__xludf.DUMMYFUNCTION("GOOGLETRANSLATE(C301,""en"",""ms"")"),"Tekan Semak sekali lagi untuk menjalankannya sekali lagi. Jika gagal lagi, laporkannya dengan butang Hantar maklum balas.")</f>
        <v>Tekan Semak sekali lagi untuk menjalankannya sekali lagi. Jika gagal lagi, laporkannya dengan butang Hantar maklum balas.</v>
      </c>
    </row>
    <row r="302">
      <c r="A302" s="2" t="s">
        <v>703</v>
      </c>
      <c r="B302" s="2" t="s">
        <v>661</v>
      </c>
      <c r="C302" s="2" t="s">
        <v>704</v>
      </c>
      <c r="D302" s="3"/>
      <c r="E302" s="3" t="str">
        <f>IFERROR(__xludf.DUMMYFUNCTION("GOOGLETRANSLATE(C302,""en"",""zh-CN"")"),"由于该任务停止报告进度，因此被终止。")</f>
        <v>由于该任务停止报告进度，因此被终止。</v>
      </c>
      <c r="F302" s="3" t="str">
        <f>IFERROR(__xludf.DUMMYFUNCTION("GOOGLETRANSLATE(C302,""en"",""ms"")"),"Kerja itu berhenti melaporkan kemajuan, jadi ia dihentikan.")</f>
        <v>Kerja itu berhenti melaporkan kemajuan, jadi ia dihentikan.</v>
      </c>
    </row>
    <row r="303">
      <c r="A303" s="2" t="s">
        <v>705</v>
      </c>
      <c r="B303" s="2" t="s">
        <v>661</v>
      </c>
      <c r="C303" s="2" t="s">
        <v>706</v>
      </c>
      <c r="D303" s="3"/>
      <c r="E303" s="3" t="str">
        <f>IFERROR(__xludf.DUMMYFUNCTION("GOOGLETRANSLATE(C303,""en"",""zh-CN"")"),"视频制作过程中出现错误。")</f>
        <v>视频制作过程中出现错误。</v>
      </c>
      <c r="F303" s="3" t="str">
        <f>IFERROR(__xludf.DUMMYFUNCTION("GOOGLETRANSLATE(C303,""en"",""ms"")"),"Ada masalah yang berlaku semasa membuat video.")</f>
        <v>Ada masalah yang berlaku semasa membuat video.</v>
      </c>
    </row>
    <row r="304">
      <c r="A304" s="2" t="s">
        <v>707</v>
      </c>
      <c r="B304" s="2" t="s">
        <v>661</v>
      </c>
      <c r="C304" s="2" t="s">
        <v>708</v>
      </c>
      <c r="D304" s="3"/>
      <c r="E304" s="3" t="str">
        <f>IFERROR(__xludf.DUMMYFUNCTION("GOOGLETRANSLATE(C304,""en"",""zh-CN"")"),"请再试一次。如果问题再次出现，请点击“发送反馈”按钮进行报告——您提供的详细信息将有助于我们解决问题。")</f>
        <v>请再试一次。如果问题再次出现，请点击“发送反馈”按钮进行报告——您提供的详细信息将有助于我们解决问题。</v>
      </c>
      <c r="F304" s="3" t="str">
        <f>IFERROR(__xludf.DUMMYFUNCTION("GOOGLETRANSLATE(C304,""en"",""ms"")"),"Cuba lagi. Jika ia berlaku lagi, laporkannya dengan butang Hantar maklum balas — butiran yang ditambahkan akan membantu.")</f>
        <v>Cuba lagi. Jika ia berlaku lagi, laporkannya dengan butang Hantar maklum balas — butiran yang ditambahkan akan membantu.</v>
      </c>
    </row>
    <row r="305">
      <c r="A305" s="2" t="s">
        <v>709</v>
      </c>
      <c r="B305" s="2" t="s">
        <v>710</v>
      </c>
      <c r="C305" s="2" t="s">
        <v>711</v>
      </c>
      <c r="D305" s="3"/>
      <c r="E305" s="3" t="str">
        <f>IFERROR(__xludf.DUMMYFUNCTION("GOOGLETRANSLATE(C305,""en"",""zh-CN"")"),"此页面需要建立安全连接才能播放您的视频。请通过以 https:// 开头的地址打开它。")</f>
        <v>此页面需要建立安全连接才能播放您的视频。请通过以 https:// 开头的地址打开它。</v>
      </c>
      <c r="F305" s="3" t="str">
        <f>IFERROR(__xludf.DUMMYFUNCTION("GOOGLETRANSLATE(C305,""en"",""ms"")"),"Halaman ini memerlukan sambungan yang selamat sebelum ia boleh berfungsi dengan video anda. Bukanya di alamat yang bermula dengan https://.")</f>
        <v>Halaman ini memerlukan sambungan yang selamat sebelum ia boleh berfungsi dengan video anda. Bukanya di alamat yang bermula dengan https://.</v>
      </c>
    </row>
    <row r="306">
      <c r="A306" s="2" t="s">
        <v>712</v>
      </c>
      <c r="B306" s="2" t="s">
        <v>710</v>
      </c>
      <c r="C306" s="2" t="s">
        <v>713</v>
      </c>
      <c r="D306" s="2" t="s">
        <v>554</v>
      </c>
      <c r="E306" s="3" t="str">
        <f>IFERROR(__xludf.DUMMYFUNCTION("GOOGLETRANSLATE(C306,""en"",""zh-CN"")"),"此浏览器无法处理视频，因此该工具无法在此运行。{补救措施}")</f>
        <v>此浏览器无法处理视频，因此该工具无法在此运行。{补救措施}</v>
      </c>
      <c r="F306" s="3" t="str">
        <f>IFERROR(__xludf.DUMMYFUNCTION("GOOGLETRANSLATE(C306,""en"",""ms"")"),"Pelayar ini tidak dapat memproses video, jadi alat ini tidak dapat dijalankan di sini. {remedy}")</f>
        <v>Pelayar ini tidak dapat memproses video, jadi alat ini tidak dapat dijalankan di sini. {remedy}</v>
      </c>
    </row>
    <row r="307">
      <c r="A307" s="2" t="s">
        <v>714</v>
      </c>
      <c r="B307" s="2" t="s">
        <v>710</v>
      </c>
      <c r="C307" s="2" t="s">
        <v>715</v>
      </c>
      <c r="D307" s="2" t="s">
        <v>554</v>
      </c>
      <c r="E307" s="3" t="str">
        <f>IFERROR(__xludf.DUMMYFUNCTION("GOOGLETRANSLATE(C307,""en"",""zh-CN"")"),"此浏览器无法创建此工具所需的视频格式，因此该工具无法在此处运行。{补救措施}")</f>
        <v>此浏览器无法创建此工具所需的视频格式，因此该工具无法在此处运行。{补救措施}</v>
      </c>
      <c r="F307" s="3" t="str">
        <f>IFERROR(__xludf.DUMMYFUNCTION("GOOGLETRANSLATE(C307,""en"",""ms"")"),"Pelayar ini tidak dapat mencipta format video yang diperlukan oleh alat ini, jadi alat ini tidak dapat dijalankan di sini. {remedy}")</f>
        <v>Pelayar ini tidak dapat mencipta format video yang diperlukan oleh alat ini, jadi alat ini tidak dapat dijalankan di sini. {remedy}</v>
      </c>
    </row>
    <row r="308">
      <c r="A308" s="2" t="s">
        <v>716</v>
      </c>
      <c r="B308" s="2" t="s">
        <v>710</v>
      </c>
      <c r="C308" s="2" t="s">
        <v>717</v>
      </c>
      <c r="D308" s="2" t="s">
        <v>554</v>
      </c>
      <c r="E308" s="3" t="str">
        <f>IFERROR(__xludf.DUMMYFUNCTION("GOOGLETRANSLATE(C308,""en"",""zh-CN"")"),"此浏览器没有为该工具提供足够的空间来构建视频。如果您使用隐私浏览模式，通常可以使用普通窗口。{解决方法}")</f>
        <v>此浏览器没有为该工具提供足够的空间来构建视频。如果您使用隐私浏览模式，通常可以使用普通窗口。{解决方法}</v>
      </c>
      <c r="F308" s="3" t="str">
        <f>IFERROR(__xludf.DUMMYFUNCTION("GOOGLETRANSLATE(C308,""en"",""ms"")"),"Pelayar ini tidak memberikan ruang kerja kepada alat ini untuk membina video. Jika anda melayari secara peribadi, tetingkap biasa biasanya berfungsi. {remedy}")</f>
        <v>Pelayar ini tidak memberikan ruang kerja kepada alat ini untuk membina video. Jika anda melayari secara peribadi, tetingkap biasa biasanya berfungsi. {remedy}</v>
      </c>
    </row>
    <row r="309">
      <c r="A309" s="2" t="s">
        <v>718</v>
      </c>
      <c r="B309" s="2" t="s">
        <v>710</v>
      </c>
      <c r="C309" s="2" t="s">
        <v>719</v>
      </c>
      <c r="D309" s="3"/>
      <c r="E309" s="3" t="str">
        <f>IFERROR(__xludf.DUMMYFUNCTION("GOOGLETRANSLATE(C309,""en"",""zh-CN"")"),"执行操作的工具部分未启动。请刷新页面。如果问题再次出现，请点击“发送反馈”按钮进行报告。")</f>
        <v>执行操作的工具部分未启动。请刷新页面。如果问题再次出现，请点击“发送反馈”按钮进行报告。</v>
      </c>
      <c r="F309" s="3" t="str">
        <f>IFERROR(__xludf.DUMMYFUNCTION("GOOGLETRANSLATE(C309,""en"",""ms"")"),"Bahagian alat yang melakukan kerja tidak bermula. Muat semula halaman. Jika ia berlaku lagi, laporkannya dengan butang Hantar maklum balas.")</f>
        <v>Bahagian alat yang melakukan kerja tidak bermula. Muat semula halaman. Jika ia berlaku lagi, laporkannya dengan butang Hantar maklum balas.</v>
      </c>
    </row>
    <row r="310">
      <c r="A310" s="2" t="s">
        <v>720</v>
      </c>
      <c r="B310" s="2" t="s">
        <v>721</v>
      </c>
      <c r="C310" s="2" t="s">
        <v>722</v>
      </c>
      <c r="D310" s="3"/>
      <c r="E310" s="3" t="str">
        <f>IFERROR(__xludf.DUMMYFUNCTION("GOOGLETRANSLATE(C310,""en"",""zh-CN"")"),"工具出现故障。正在制作的视频可能无法完成；您的原始文件不受影响。请点击“发送反馈”按钮报告此问题，并添加以下详细信息。")</f>
        <v>工具出现故障。正在制作的视频可能无法完成；您的原始文件不受影响。请点击“发送反馈”按钮报告此问题，并添加以下详细信息。</v>
      </c>
      <c r="F310" s="3" t="str">
        <f>IFERROR(__xludf.DUMMYFUNCTION("GOOGLETRANSLATE(C310,""en"",""ms"")"),"Sesuatu yang tidak kena telah berlaku dalam alat ini. Video yang sedang dibuat mungkin tidak siap; fail asal anda tidak terjejas. Laporkannya dengan butang Hantar maklum balas, yang akan menambah butiran ini.")</f>
        <v>Sesuatu yang tidak kena telah berlaku dalam alat ini. Video yang sedang dibuat mungkin tidak siap; fail asal anda tidak terjejas. Laporkannya dengan butang Hantar maklum balas, yang akan menambah butiran ini.</v>
      </c>
    </row>
    <row r="311">
      <c r="A311" s="2" t="s">
        <v>723</v>
      </c>
      <c r="B311" s="2" t="s">
        <v>724</v>
      </c>
      <c r="C311" s="2" t="s">
        <v>725</v>
      </c>
      <c r="D311" s="2" t="s">
        <v>726</v>
      </c>
      <c r="E311" s="3" t="str">
        <f>IFERROR(__xludf.DUMMYFUNCTION("GOOGLETRANSLATE(C311,""en"",""zh-CN"")"),"系统检查 — {结果}")</f>
        <v>系统检查 — {结果}</v>
      </c>
      <c r="F311" s="3" t="str">
        <f>IFERROR(__xludf.DUMMYFUNCTION("GOOGLETRANSLATE(C311,""en"",""ms"")"),"Pemeriksaan sistem — {result}")</f>
        <v>Pemeriksaan sistem — {result}</v>
      </c>
    </row>
    <row r="312">
      <c r="A312" s="2" t="s">
        <v>727</v>
      </c>
      <c r="B312" s="2" t="s">
        <v>724</v>
      </c>
      <c r="C312" s="2" t="s">
        <v>728</v>
      </c>
      <c r="D312" s="2" t="s">
        <v>142</v>
      </c>
      <c r="E312" s="3" t="str">
        <f>IFERROR(__xludf.DUMMYFUNCTION("GOOGLETRANSLATE(C312,""en"",""zh-CN"")"),"计数问题")</f>
        <v>计数问题</v>
      </c>
      <c r="F312" s="3" t="str">
        <f>IFERROR(__xludf.DUMMYFUNCTION("GOOGLETRANSLATE(C312,""en"",""ms"")"),"masalah {count}")</f>
        <v>masalah {count}</v>
      </c>
    </row>
    <row r="313">
      <c r="A313" s="2" t="s">
        <v>729</v>
      </c>
      <c r="B313" s="2" t="s">
        <v>724</v>
      </c>
      <c r="C313" s="2" t="s">
        <v>730</v>
      </c>
      <c r="D313" s="2" t="s">
        <v>145</v>
      </c>
      <c r="E313" s="3" t="str">
        <f>IFERROR(__xludf.DUMMYFUNCTION("GOOGLETRANSLATE(C313,""en"",""zh-CN"")"),"问题数量")</f>
        <v>问题数量</v>
      </c>
      <c r="F313" s="3" t="str">
        <f>IFERROR(__xludf.DUMMYFUNCTION("GOOGLETRANSLATE(C313,""en"",""ms"")"),"{count} masalah")</f>
        <v>{count} masalah</v>
      </c>
    </row>
    <row r="314">
      <c r="A314" s="2" t="s">
        <v>731</v>
      </c>
      <c r="B314" s="2" t="s">
        <v>724</v>
      </c>
      <c r="C314" s="2" t="s">
        <v>732</v>
      </c>
      <c r="D314" s="2" t="s">
        <v>142</v>
      </c>
      <c r="E314" s="3" t="str">
        <f>IFERROR(__xludf.DUMMYFUNCTION("GOOGLETRANSLATE(C314,""en"",""zh-CN"")"),"{count} 警告")</f>
        <v>{count} 警告</v>
      </c>
      <c r="F314" s="3" t="str">
        <f>IFERROR(__xludf.DUMMYFUNCTION("GOOGLETRANSLATE(C314,""en"",""ms"")"),"amaran {count}")</f>
        <v>amaran {count}</v>
      </c>
    </row>
    <row r="315">
      <c r="A315" s="2" t="s">
        <v>733</v>
      </c>
      <c r="B315" s="2" t="s">
        <v>724</v>
      </c>
      <c r="C315" s="2" t="s">
        <v>734</v>
      </c>
      <c r="D315" s="2" t="s">
        <v>145</v>
      </c>
      <c r="E315" s="3" t="str">
        <f>IFERROR(__xludf.DUMMYFUNCTION("GOOGLETRANSLATE(C315,""en"",""zh-CN"")"),"{count} 个警告")</f>
        <v>{count} 个警告</v>
      </c>
      <c r="F315" s="3" t="str">
        <f>IFERROR(__xludf.DUMMYFUNCTION("GOOGLETRANSLATE(C315,""en"",""ms"")"),"{count} amaran")</f>
        <v>{count} amaran</v>
      </c>
    </row>
    <row r="316">
      <c r="A316" s="2" t="s">
        <v>735</v>
      </c>
      <c r="B316" s="2" t="s">
        <v>724</v>
      </c>
      <c r="C316" s="2" t="s">
        <v>736</v>
      </c>
      <c r="D316" s="3"/>
      <c r="E316" s="3" t="str">
        <f>IFERROR(__xludf.DUMMYFUNCTION("GOOGLETRANSLATE(C316,""en"",""zh-CN"")"),"检查")</f>
        <v>检查</v>
      </c>
      <c r="F316" s="3" t="str">
        <f>IFERROR(__xludf.DUMMYFUNCTION("GOOGLETRANSLATE(C316,""en"",""ms"")"),"menyemak")</f>
        <v>menyemak</v>
      </c>
    </row>
    <row r="317">
      <c r="A317" s="2" t="s">
        <v>737</v>
      </c>
      <c r="B317" s="2" t="s">
        <v>724</v>
      </c>
      <c r="C317" s="2" t="s">
        <v>738</v>
      </c>
      <c r="D317" s="3"/>
      <c r="E317" s="3" t="str">
        <f>IFERROR(__xludf.DUMMYFUNCTION("GOOGLETRANSLATE(C317,""en"",""zh-CN"")"),"全部通过")</f>
        <v>全部通过</v>
      </c>
      <c r="F317" s="3" t="str">
        <f>IFERROR(__xludf.DUMMYFUNCTION("GOOGLETRANSLATE(C317,""en"",""ms"")"),"semua lulus")</f>
        <v>semua lulus</v>
      </c>
    </row>
    <row r="318">
      <c r="A318" s="2" t="s">
        <v>739</v>
      </c>
      <c r="B318" s="2" t="s">
        <v>724</v>
      </c>
      <c r="C318" s="2" t="s">
        <v>740</v>
      </c>
      <c r="D318" s="2" t="s">
        <v>741</v>
      </c>
      <c r="E318" s="3" t="str">
        <f>IFERROR(__xludf.DUMMYFUNCTION("GOOGLETRANSLATE(C318,""en"",""zh-CN"")"),"好的")</f>
        <v>好的</v>
      </c>
      <c r="F318" s="3" t="str">
        <f>IFERROR(__xludf.DUMMYFUNCTION("GOOGLETRANSLATE(C318,""en"",""ms"")"),"OK")</f>
        <v>OK</v>
      </c>
    </row>
    <row r="319">
      <c r="A319" s="2" t="s">
        <v>742</v>
      </c>
      <c r="B319" s="2" t="s">
        <v>724</v>
      </c>
      <c r="C319" s="2" t="s">
        <v>743</v>
      </c>
      <c r="D319" s="2" t="s">
        <v>744</v>
      </c>
      <c r="E319" s="3" t="str">
        <f>IFERROR(__xludf.DUMMYFUNCTION("GOOGLETRANSLATE(C319,""en"",""zh-CN"")"),"不")</f>
        <v>不</v>
      </c>
      <c r="F319" s="3" t="str">
        <f>IFERROR(__xludf.DUMMYFUNCTION("GOOGLETRANSLATE(C319,""en"",""ms"")"),"Tidak")</f>
        <v>Tidak</v>
      </c>
    </row>
    <row r="320">
      <c r="A320" s="2" t="s">
        <v>745</v>
      </c>
      <c r="B320" s="2" t="s">
        <v>724</v>
      </c>
      <c r="C320" s="2" t="s">
        <v>746</v>
      </c>
      <c r="D320" s="2" t="s">
        <v>747</v>
      </c>
      <c r="E320" s="3" t="str">
        <f>IFERROR(__xludf.DUMMYFUNCTION("GOOGLETRANSLATE(C320,""en"",""zh-CN"")"),"！")</f>
        <v>！</v>
      </c>
      <c r="F320" s="3" t="str">
        <f>IFERROR(__xludf.DUMMYFUNCTION("GOOGLETRANSLATE(C320,""en"",""ms"")"),"!")</f>
        <v>!</v>
      </c>
    </row>
    <row r="321">
      <c r="A321" s="2" t="s">
        <v>748</v>
      </c>
      <c r="B321" s="2" t="s">
        <v>724</v>
      </c>
      <c r="C321" s="2" t="s">
        <v>749</v>
      </c>
      <c r="D321" s="2" t="s">
        <v>750</v>
      </c>
      <c r="E321" s="3" t="str">
        <f>IFERROR(__xludf.DUMMYFUNCTION("GOOGLETRANSLATE(C321,""en"",""zh-CN"")"),"…")</f>
        <v>…</v>
      </c>
      <c r="F321" s="3" t="str">
        <f>IFERROR(__xludf.DUMMYFUNCTION("GOOGLETRANSLATE(C321,""en"",""ms"")"),"…")</f>
        <v>…</v>
      </c>
    </row>
    <row r="322">
      <c r="A322" s="2" t="s">
        <v>751</v>
      </c>
      <c r="B322" s="2" t="s">
        <v>724</v>
      </c>
      <c r="C322" s="2" t="s">
        <v>752</v>
      </c>
      <c r="D322" s="3"/>
      <c r="E322" s="3" t="str">
        <f>IFERROR(__xludf.DUMMYFUNCTION("GOOGLETRANSLATE(C322,""en"",""zh-CN"")"),"安全连接（存储访问所需）")</f>
        <v>安全连接（存储访问所需）</v>
      </c>
      <c r="F322" s="3" t="str">
        <f>IFERROR(__xludf.DUMMYFUNCTION("GOOGLETRANSLATE(C322,""en"",""ms"")"),"Sambungan selamat (diperlukan untuk akses storan)")</f>
        <v>Sambungan selamat (diperlukan untuk akses storan)</v>
      </c>
    </row>
    <row r="323">
      <c r="A323" s="2" t="s">
        <v>753</v>
      </c>
      <c r="B323" s="2" t="s">
        <v>724</v>
      </c>
      <c r="C323" s="2" t="s">
        <v>754</v>
      </c>
      <c r="D323" s="3"/>
      <c r="E323" s="3" t="str">
        <f>IFERROR(__xludf.DUMMYFUNCTION("GOOGLETRANSLATE(C323,""en"",""zh-CN"")"),"浏览器中的视频处理（WebCodecs）")</f>
        <v>浏览器中的视频处理（WebCodecs）</v>
      </c>
      <c r="F323" s="3" t="str">
        <f>IFERROR(__xludf.DUMMYFUNCTION("GOOGLETRANSLATE(C323,""en"",""ms"")"),"Pemprosesan video dalam pelayar (WebCodecs)")</f>
        <v>Pemprosesan video dalam pelayar (WebCodecs)</v>
      </c>
    </row>
    <row r="324">
      <c r="A324" s="2" t="s">
        <v>755</v>
      </c>
      <c r="B324" s="2" t="s">
        <v>724</v>
      </c>
      <c r="C324" s="2" t="s">
        <v>756</v>
      </c>
      <c r="D324" s="3"/>
      <c r="E324" s="3" t="str">
        <f>IFERROR(__xludf.DUMMYFUNCTION("GOOGLETRANSLATE(C324,""en"",""zh-CN"")"),"该工具生成的视频格式为（H.264）")</f>
        <v>该工具生成的视频格式为（H.264）</v>
      </c>
      <c r="F324" s="3" t="str">
        <f>IFERROR(__xludf.DUMMYFUNCTION("GOOGLETRANSLATE(C324,""en"",""ms"")"),"Format video yang dibuat oleh alat ini (H.264)")</f>
        <v>Format video yang dibuat oleh alat ini (H.264)</v>
      </c>
    </row>
    <row r="325">
      <c r="A325" s="2" t="s">
        <v>757</v>
      </c>
      <c r="B325" s="2" t="s">
        <v>724</v>
      </c>
      <c r="C325" s="2" t="s">
        <v>758</v>
      </c>
      <c r="D325" s="3"/>
      <c r="E325" s="3" t="str">
        <f>IFERROR(__xludf.DUMMYFUNCTION("GOOGLETRANSLATE(C325,""en"",""zh-CN"")"),"该工具生成的声音格式（AAC）")</f>
        <v>该工具生成的声音格式（AAC）</v>
      </c>
      <c r="F325" s="3" t="str">
        <f>IFERROR(__xludf.DUMMYFUNCTION("GOOGLETRANSLATE(C325,""en"",""ms"")"),"Format bunyi yang dihasilkan oleh alat (AAC)")</f>
        <v>Format bunyi yang dihasilkan oleh alat (AAC)</v>
      </c>
    </row>
    <row r="326">
      <c r="A326" s="2" t="s">
        <v>759</v>
      </c>
      <c r="B326" s="2" t="s">
        <v>724</v>
      </c>
      <c r="C326" s="2" t="s">
        <v>760</v>
      </c>
      <c r="D326" s="3"/>
      <c r="E326" s="3" t="str">
        <f>IFERROR(__xludf.DUMMYFUNCTION("GOOGLETRANSLATE(C326,""en"",""zh-CN"")"),"私人工作存储")</f>
        <v>私人工作存储</v>
      </c>
      <c r="F326" s="3" t="str">
        <f>IFERROR(__xludf.DUMMYFUNCTION("GOOGLETRANSLATE(C326,""en"",""ms"")"),"Storan kerja persendirian")</f>
        <v>Storan kerja persendirian</v>
      </c>
    </row>
    <row r="327">
      <c r="A327" s="2" t="s">
        <v>761</v>
      </c>
      <c r="B327" s="2" t="s">
        <v>724</v>
      </c>
      <c r="C327" s="2" t="s">
        <v>762</v>
      </c>
      <c r="D327" s="3"/>
      <c r="E327" s="3" t="str">
        <f>IFERROR(__xludf.DUMMYFUNCTION("GOOGLETRANSLATE(C327,""en"",""zh-CN"")"),"背景处理")</f>
        <v>背景处理</v>
      </c>
      <c r="F327" s="3" t="str">
        <f>IFERROR(__xludf.DUMMYFUNCTION("GOOGLETRANSLATE(C327,""en"",""ms"")"),"Pemprosesan latar belakang")</f>
        <v>Pemprosesan latar belakang</v>
      </c>
    </row>
    <row r="328">
      <c r="A328" s="2" t="s">
        <v>763</v>
      </c>
      <c r="B328" s="2" t="s">
        <v>724</v>
      </c>
      <c r="C328" s="2" t="s">
        <v>764</v>
      </c>
      <c r="D328" s="3"/>
      <c r="E328" s="3" t="str">
        <f>IFERROR(__xludf.DUMMYFUNCTION("GOOGLETRANSLATE(C328,""en"",""zh-CN"")"),"检查")</f>
        <v>检查</v>
      </c>
      <c r="F328" s="3" t="str">
        <f>IFERROR(__xludf.DUMMYFUNCTION("GOOGLETRANSLATE(C328,""en"",""ms"")"),"Memeriksa")</f>
        <v>Memeriksa</v>
      </c>
    </row>
    <row r="329">
      <c r="A329" s="2" t="s">
        <v>765</v>
      </c>
      <c r="B329" s="2" t="s">
        <v>724</v>
      </c>
      <c r="C329" s="2" t="s">
        <v>766</v>
      </c>
      <c r="D329" s="3"/>
      <c r="E329" s="3" t="str">
        <f>IFERROR(__xludf.DUMMYFUNCTION("GOOGLETRANSLATE(C329,""en"",""zh-CN"")"),"可用的")</f>
        <v>可用的</v>
      </c>
      <c r="F329" s="3" t="str">
        <f>IFERROR(__xludf.DUMMYFUNCTION("GOOGLETRANSLATE(C329,""en"",""ms"")"),"Tersedia")</f>
        <v>Tersedia</v>
      </c>
    </row>
    <row r="330">
      <c r="A330" s="2" t="s">
        <v>767</v>
      </c>
      <c r="B330" s="2" t="s">
        <v>724</v>
      </c>
      <c r="C330" s="2" t="s">
        <v>768</v>
      </c>
      <c r="D330" s="3"/>
      <c r="E330" s="3" t="str">
        <f>IFERROR(__xludf.DUMMYFUNCTION("GOOGLETRANSLATE(C330,""en"",""zh-CN"")"),"无法使用")</f>
        <v>无法使用</v>
      </c>
      <c r="F330" s="3" t="str">
        <f>IFERROR(__xludf.DUMMYFUNCTION("GOOGLETRANSLATE(C330,""en"",""ms"")"),"Tidak tersedia")</f>
        <v>Tidak tersedia</v>
      </c>
    </row>
    <row r="331">
      <c r="A331" s="2" t="s">
        <v>769</v>
      </c>
      <c r="B331" s="2" t="s">
        <v>724</v>
      </c>
      <c r="C331" s="2" t="s">
        <v>770</v>
      </c>
      <c r="D331" s="3"/>
      <c r="E331" s="3" t="str">
        <f>IFERROR(__xludf.DUMMYFUNCTION("GOOGLETRANSLATE(C331,""en"",""zh-CN"")"),"支持")</f>
        <v>支持</v>
      </c>
      <c r="F331" s="3" t="str">
        <f>IFERROR(__xludf.DUMMYFUNCTION("GOOGLETRANSLATE(C331,""en"",""ms"")"),"Disokong")</f>
        <v>Disokong</v>
      </c>
    </row>
    <row r="332">
      <c r="A332" s="2" t="s">
        <v>771</v>
      </c>
      <c r="B332" s="2" t="s">
        <v>724</v>
      </c>
      <c r="C332" s="2" t="s">
        <v>772</v>
      </c>
      <c r="D332" s="3"/>
      <c r="E332" s="3" t="str">
        <f>IFERROR(__xludf.DUMMYFUNCTION("GOOGLETRANSLATE(C332,""en"",""zh-CN"")"),"不支持")</f>
        <v>不支持</v>
      </c>
      <c r="F332" s="3" t="str">
        <f>IFERROR(__xludf.DUMMYFUNCTION("GOOGLETRANSLATE(C332,""en"",""ms"")"),"Tidak disokong")</f>
        <v>Tidak disokong</v>
      </c>
    </row>
    <row r="333">
      <c r="A333" s="2" t="s">
        <v>773</v>
      </c>
      <c r="B333" s="2" t="s">
        <v>724</v>
      </c>
      <c r="C333" s="2" t="s">
        <v>774</v>
      </c>
      <c r="D333" s="3"/>
      <c r="E333" s="3" t="str">
        <f>IFERROR(__xludf.DUMMYFUNCTION("GOOGLETRANSLATE(C333,""en"",""zh-CN"")"),"不支持——此处无法制作带声音的视频。")</f>
        <v>不支持——此处无法制作带声音的视频。</v>
      </c>
      <c r="F333" s="3" t="str">
        <f>IFERROR(__xludf.DUMMYFUNCTION("GOOGLETRANSLATE(C333,""en"",""ms"")"),"Tidak disokong — video dengan bunyi tidak boleh dibuat di sini")</f>
        <v>Tidak disokong — video dengan bunyi tidak boleh dibuat di sini</v>
      </c>
    </row>
    <row r="334">
      <c r="A334" s="2" t="s">
        <v>775</v>
      </c>
      <c r="B334" s="2" t="s">
        <v>724</v>
      </c>
      <c r="C334" s="2" t="s">
        <v>776</v>
      </c>
      <c r="D334" s="3"/>
      <c r="E334" s="3" t="str">
        <f>IFERROR(__xludf.DUMMYFUNCTION("GOOGLETRANSLATE(C334,""en"",""zh-CN"")"),"启动失败")</f>
        <v>启动失败</v>
      </c>
      <c r="F334" s="3" t="str">
        <f>IFERROR(__xludf.DUMMYFUNCTION("GOOGLETRANSLATE(C334,""en"",""ms"")"),"Gagal bermula")</f>
        <v>Gagal bermula</v>
      </c>
    </row>
    <row r="335">
      <c r="A335" s="2" t="s">
        <v>777</v>
      </c>
      <c r="B335" s="2" t="s">
        <v>724</v>
      </c>
      <c r="C335" s="2" t="s">
        <v>778</v>
      </c>
      <c r="D335" s="2" t="s">
        <v>580</v>
      </c>
      <c r="E335" s="3" t="str">
        <f>IFERROR(__xludf.DUMMYFUNCTION("GOOGLETRANSLATE(C335,""en"",""zh-CN"")"),"准备时间：{time}")</f>
        <v>准备时间：{time}</v>
      </c>
      <c r="F335" s="3" t="str">
        <f>IFERROR(__xludf.DUMMYFUNCTION("GOOGLETRANSLATE(C335,""en"",""ms"")"),"Bersedia dalam {masa}")</f>
        <v>Bersedia dalam {masa}</v>
      </c>
    </row>
    <row r="336">
      <c r="A336" s="2" t="s">
        <v>779</v>
      </c>
      <c r="B336" s="2" t="s">
        <v>724</v>
      </c>
      <c r="C336" s="2" t="s">
        <v>780</v>
      </c>
      <c r="D336" s="3"/>
      <c r="E336" s="3" t="str">
        <f>IFERROR(__xludf.DUMMYFUNCTION("GOOGLETRANSLATE(C336,""en"",""zh-CN"")"),"没有回应")</f>
        <v>没有回应</v>
      </c>
      <c r="F336" s="3" t="str">
        <f>IFERROR(__xludf.DUMMYFUNCTION("GOOGLETRANSLATE(C336,""en"",""ms"")"),"Tiada respons")</f>
        <v>Tiada respons</v>
      </c>
    </row>
    <row r="337">
      <c r="A337" s="2" t="s">
        <v>781</v>
      </c>
      <c r="B337" s="2" t="s">
        <v>782</v>
      </c>
      <c r="C337" s="2" t="s">
        <v>783</v>
      </c>
      <c r="D337" s="3"/>
      <c r="E337" s="3" t="str">
        <f>IFERROR(__xludf.DUMMYFUNCTION("GOOGLETRANSLATE(C337,""en"",""zh-CN"")"),"捕获的错误")</f>
        <v>捕获的错误</v>
      </c>
      <c r="F337" s="3" t="str">
        <f>IFERROR(__xludf.DUMMYFUNCTION("GOOGLETRANSLATE(C337,""en"",""ms"")"),"Ralat ditangkap")</f>
        <v>Ralat ditangkap</v>
      </c>
    </row>
    <row r="338">
      <c r="A338" s="2" t="s">
        <v>784</v>
      </c>
      <c r="B338" s="2" t="s">
        <v>782</v>
      </c>
      <c r="C338" s="2" t="s">
        <v>785</v>
      </c>
      <c r="D338" s="3"/>
      <c r="E338" s="3" t="str">
        <f>IFERROR(__xludf.DUMMYFUNCTION("GOOGLETRANSLATE(C338,""en"",""zh-CN"")"),"技术细节")</f>
        <v>技术细节</v>
      </c>
      <c r="F338" s="3" t="str">
        <f>IFERROR(__xludf.DUMMYFUNCTION("GOOGLETRANSLATE(C338,""en"",""ms"")"),"Butiran teknikal")</f>
        <v>Butiran teknikal</v>
      </c>
    </row>
    <row r="339">
      <c r="A339" s="2" t="s">
        <v>786</v>
      </c>
      <c r="B339" s="2" t="s">
        <v>782</v>
      </c>
      <c r="C339" s="2" t="s">
        <v>787</v>
      </c>
      <c r="D339" s="3"/>
      <c r="E339" s="3" t="str">
        <f>IFERROR(__xludf.DUMMYFUNCTION("GOOGLETRANSLATE(C339,""en"",""zh-CN"")"),"报告此问题")</f>
        <v>报告此问题</v>
      </c>
      <c r="F339" s="3" t="str">
        <f>IFERROR(__xludf.DUMMYFUNCTION("GOOGLETRANSLATE(C339,""en"",""ms"")"),"Laporkan masalah ini")</f>
        <v>Laporkan masalah ini</v>
      </c>
    </row>
    <row r="340">
      <c r="A340" s="2" t="s">
        <v>788</v>
      </c>
      <c r="B340" s="2" t="s">
        <v>789</v>
      </c>
      <c r="C340" s="2" t="s">
        <v>790</v>
      </c>
      <c r="D340" s="3"/>
      <c r="E340" s="3" t="str">
        <f>IFERROR(__xludf.DUMMYFUNCTION("GOOGLETRANSLATE(C340,""en"",""zh-CN"")"),"发送反馈")</f>
        <v>发送反馈</v>
      </c>
      <c r="F340" s="3" t="str">
        <f>IFERROR(__xludf.DUMMYFUNCTION("GOOGLETRANSLATE(C340,""en"",""ms"")"),"Hantar maklum balas")</f>
        <v>Hantar maklum balas</v>
      </c>
    </row>
    <row r="341">
      <c r="A341" s="2" t="s">
        <v>791</v>
      </c>
      <c r="B341" s="2" t="s">
        <v>789</v>
      </c>
      <c r="C341" s="2" t="s">
        <v>790</v>
      </c>
      <c r="D341" s="3"/>
      <c r="E341" s="3" t="str">
        <f>IFERROR(__xludf.DUMMYFUNCTION("GOOGLETRANSLATE(C341,""en"",""zh-CN"")"),"发送反馈")</f>
        <v>发送反馈</v>
      </c>
      <c r="F341" s="3" t="str">
        <f>IFERROR(__xludf.DUMMYFUNCTION("GOOGLETRANSLATE(C341,""en"",""ms"")"),"Hantar maklum balas")</f>
        <v>Hantar maklum balas</v>
      </c>
    </row>
    <row r="342">
      <c r="A342" s="2" t="s">
        <v>792</v>
      </c>
      <c r="B342" s="2" t="s">
        <v>789</v>
      </c>
      <c r="C342" s="2" t="s">
        <v>793</v>
      </c>
      <c r="D342" s="2" t="s">
        <v>794</v>
      </c>
      <c r="E342" s="3" t="str">
        <f>IFERROR(__xludf.DUMMYFUNCTION("GOOGLETRANSLATE(C342,""en"",""zh-CN"")"),"您的邮件将通过您自己的电子邮件应用程序发送到 {address}。您将在邮件发送前看到它。")</f>
        <v>您的邮件将通过您自己的电子邮件应用程序发送到 {address}。您将在邮件发送前看到它。</v>
      </c>
      <c r="F342" s="3" t="str">
        <f>IFERROR(__xludf.DUMMYFUNCTION("GOOGLETRANSLATE(C342,""en"",""ms"")"),"Mesej anda dihantar ke {address} daripada aplikasi e-mel anda sendiri. Anda akan melihat e-mel tersebut sebelum ia dihantar.")</f>
        <v>Mesej anda dihantar ke {address} daripada aplikasi e-mel anda sendiri. Anda akan melihat e-mel tersebut sebelum ia dihantar.</v>
      </c>
    </row>
    <row r="343">
      <c r="A343" s="2" t="s">
        <v>795</v>
      </c>
      <c r="B343" s="2" t="s">
        <v>789</v>
      </c>
      <c r="C343" s="2" t="s">
        <v>796</v>
      </c>
      <c r="D343" s="3"/>
      <c r="E343" s="3" t="str">
        <f>IFERROR(__xludf.DUMMYFUNCTION("GOOGLETRANSLATE(C343,""en"",""zh-CN"")"),"您的留言")</f>
        <v>您的留言</v>
      </c>
      <c r="F343" s="3" t="str">
        <f>IFERROR(__xludf.DUMMYFUNCTION("GOOGLETRANSLATE(C343,""en"",""ms"")"),"Mesej anda")</f>
        <v>Mesej anda</v>
      </c>
    </row>
    <row r="344">
      <c r="A344" s="2" t="s">
        <v>797</v>
      </c>
      <c r="B344" s="2" t="s">
        <v>789</v>
      </c>
      <c r="C344" s="2" t="s">
        <v>798</v>
      </c>
      <c r="D344" s="3"/>
      <c r="E344" s="3" t="str">
        <f>IFERROR(__xludf.DUMMYFUNCTION("GOOGLETRANSLATE(C344,""en"",""zh-CN"")"),"请先写好信息。")</f>
        <v>请先写好信息。</v>
      </c>
      <c r="F344" s="3" t="str">
        <f>IFERROR(__xludf.DUMMYFUNCTION("GOOGLETRANSLATE(C344,""en"",""ms"")"),"Tulis mesej dulu.")</f>
        <v>Tulis mesej dulu.</v>
      </c>
    </row>
    <row r="345">
      <c r="A345" s="2" t="s">
        <v>799</v>
      </c>
      <c r="B345" s="2" t="s">
        <v>789</v>
      </c>
      <c r="C345" s="2" t="s">
        <v>800</v>
      </c>
      <c r="D345" s="3"/>
      <c r="E345" s="3" t="str">
        <f>IFERROR(__xludf.DUMMYFUNCTION("GOOGLETRANSLATE(C345,""en"",""zh-CN"")"),"随附的物品")</f>
        <v>随附的物品</v>
      </c>
      <c r="F345" s="3" t="str">
        <f>IFERROR(__xludf.DUMMYFUNCTION("GOOGLETRANSLATE(C345,""en"",""ms"")"),"Apa yang akan dihantar bersamanya")</f>
        <v>Apa yang akan dihantar bersamanya</v>
      </c>
    </row>
    <row r="346">
      <c r="A346" s="2" t="s">
        <v>801</v>
      </c>
      <c r="B346" s="2" t="s">
        <v>789</v>
      </c>
      <c r="C346" s="2" t="s">
        <v>802</v>
      </c>
      <c r="D346" s="3"/>
      <c r="E346" s="3" t="str">
        <f>IFERROR(__xludf.DUMMYFUNCTION("GOOGLETRANSLATE(C346,""en"",""zh-CN"")"),"有助于查找问题的详细信息包括：应用程序版本、您的浏览器、您的播放进度以及视频时长、图像尺寸和格式。这些信息绝不包含视频本身、视频名称或视频中的任何内容。")</f>
        <v>有助于查找问题的详细信息包括：应用程序版本、您的浏览器、您的播放进度以及视频时长、图像尺寸和格式。这些信息绝不包含视频本身、视频名称或视频中的任何内容。</v>
      </c>
      <c r="F346" s="3" t="str">
        <f>IFERROR(__xludf.DUMMYFUNCTION("GOOGLETRANSLATE(C346,""en"",""ms"")"),"Butiran yang membantu mencari masalah: versi aplikasi, pelayar anda, sejauh mana anda telah berjaya, dan panjang video anda, saiz dan format gambar. Butiran ini tidak pernah merangkumi video, namanya atau apa-apa sahaja di dalamnya.")</f>
        <v>Butiran yang membantu mencari masalah: versi aplikasi, pelayar anda, sejauh mana anda telah berjaya, dan panjang video anda, saiz dan format gambar. Butiran ini tidak pernah merangkumi video, namanya atau apa-apa sahaja di dalamnya.</v>
      </c>
    </row>
    <row r="347">
      <c r="A347" s="2" t="s">
        <v>803</v>
      </c>
      <c r="B347" s="2" t="s">
        <v>789</v>
      </c>
      <c r="C347" s="2" t="s">
        <v>804</v>
      </c>
      <c r="D347" s="3"/>
      <c r="E347" s="3" t="str">
        <f>IFERROR(__xludf.DUMMYFUNCTION("GOOGLETRANSLATE(C347,""en"",""zh-CN"")"),"打开电子邮件应用程序")</f>
        <v>打开电子邮件应用程序</v>
      </c>
      <c r="F347" s="3" t="str">
        <f>IFERROR(__xludf.DUMMYFUNCTION("GOOGLETRANSLATE(C347,""en"",""ms"")"),"Buka aplikasi e-mel")</f>
        <v>Buka aplikasi e-mel</v>
      </c>
    </row>
    <row r="348">
      <c r="A348" s="2" t="s">
        <v>805</v>
      </c>
      <c r="B348" s="2" t="s">
        <v>789</v>
      </c>
      <c r="C348" s="2" t="s">
        <v>806</v>
      </c>
      <c r="D348" s="3"/>
      <c r="E348" s="3" t="str">
        <f>IFERROR(__xludf.DUMMYFUNCTION("GOOGLETRANSLATE(C348,""en"",""zh-CN"")"),"复制消息和详细信息")</f>
        <v>复制消息和详细信息</v>
      </c>
      <c r="F348" s="3" t="str">
        <f>IFERROR(__xludf.DUMMYFUNCTION("GOOGLETRANSLATE(C348,""en"",""ms"")"),"Salin mesej dan butiran")</f>
        <v>Salin mesej dan butiran</v>
      </c>
    </row>
    <row r="349">
      <c r="A349" s="2" t="s">
        <v>807</v>
      </c>
      <c r="B349" s="2" t="s">
        <v>789</v>
      </c>
      <c r="C349" s="2" t="s">
        <v>808</v>
      </c>
      <c r="D349" s="3"/>
      <c r="E349" s="3" t="str">
        <f>IFERROR(__xludf.DUMMYFUNCTION("GOOGLETRANSLATE(C349,""en"",""zh-CN"")"),"关闭")</f>
        <v>关闭</v>
      </c>
      <c r="F349" s="3" t="str">
        <f>IFERROR(__xludf.DUMMYFUNCTION("GOOGLETRANSLATE(C349,""en"",""ms"")"),"Tutup")</f>
        <v>Tutup</v>
      </c>
    </row>
    <row r="350">
      <c r="A350" s="2" t="s">
        <v>809</v>
      </c>
      <c r="B350" s="2" t="s">
        <v>789</v>
      </c>
      <c r="C350" s="2" t="s">
        <v>810</v>
      </c>
      <c r="D350" s="2" t="s">
        <v>794</v>
      </c>
      <c r="E350" s="3" t="str">
        <f>IFERROR(__xludf.DUMMYFUNCTION("GOOGLETRANSLATE(C350,""en"",""zh-CN"")"),"您的邮件内容过长，无法一次性复制到电子邮件应用中。请选择“复制邮件内容和详细信息”，然后将其粘贴到发送至{address}的电子邮件中。")</f>
        <v>您的邮件内容过长，无法一次性复制到电子邮件应用中。请选择“复制邮件内容和详细信息”，然后将其粘贴到发送至{address}的电子邮件中。</v>
      </c>
      <c r="F350" s="3" t="str">
        <f>IFERROR(__xludf.DUMMYFUNCTION("GOOGLETRANSLATE(C350,""en"",""ms"")"),"Mesej anda terlalu panjang untuk dihantar ke aplikasi e-mel anda sekaligus. Pilih ""Salin mesej dan butiran"" dan tampalkannya ke dalam e-mel ke {address}.")</f>
        <v>Mesej anda terlalu panjang untuk dihantar ke aplikasi e-mel anda sekaligus. Pilih "Salin mesej dan butiran" dan tampalkannya ke dalam e-mel ke {address}.</v>
      </c>
    </row>
    <row r="351">
      <c r="A351" s="2" t="s">
        <v>811</v>
      </c>
      <c r="B351" s="2" t="s">
        <v>789</v>
      </c>
      <c r="C351" s="2" t="s">
        <v>812</v>
      </c>
      <c r="D351" s="2" t="s">
        <v>794</v>
      </c>
      <c r="E351" s="3" t="str">
        <f>IFERROR(__xludf.DUMMYFUNCTION("GOOGLETRANSLATE(C351,""en"",""zh-CN"")"),"您的电子邮件应用程序应该已经打开，邮件内容也已准备就绪，可以发送了。如果没有，请选择“复制邮件内容和详细信息”，然后将其粘贴到发送至{address}的电子邮件中。")</f>
        <v>您的电子邮件应用程序应该已经打开，邮件内容也已准备就绪，可以发送了。如果没有，请选择“复制邮件内容和详细信息”，然后将其粘贴到发送至{address}的电子邮件中。</v>
      </c>
      <c r="F351" s="3" t="str">
        <f>IFERROR(__xludf.DUMMYFUNCTION("GOOGLETRANSLATE(C351,""en"",""ms"")"),"Aplikasi e-mel anda sepatutnya telah dibuka dengan mesej anda sedia untuk dihantar. Jika tidak, pilih ""Salin mesej dan butiran"" dan tampalkannya ke dalam e-mel ke {address}.")</f>
        <v>Aplikasi e-mel anda sepatutnya telah dibuka dengan mesej anda sedia untuk dihantar. Jika tidak, pilih "Salin mesej dan butiran" dan tampalkannya ke dalam e-mel ke {address}.</v>
      </c>
    </row>
    <row r="352">
      <c r="A352" s="2" t="s">
        <v>813</v>
      </c>
      <c r="B352" s="2" t="s">
        <v>789</v>
      </c>
      <c r="C352" s="2" t="s">
        <v>814</v>
      </c>
      <c r="D352" s="3"/>
      <c r="E352" s="3" t="str">
        <f>IFERROR(__xludf.DUMMYFUNCTION("GOOGLETRANSLATE(C352,""en"",""zh-CN"")"),"邮件中无法包含所有细节；副本中包含了所有内容。")</f>
        <v>邮件中无法包含所有细节；副本中包含了所有内容。</v>
      </c>
      <c r="F352" s="3" t="str">
        <f>IFERROR(__xludf.DUMMYFUNCTION("GOOGLETRANSLATE(C352,""en"",""ms"")"),"Beberapa butiran tidak muat dalam e-mel; salinannya mengandungi semuanya.")</f>
        <v>Beberapa butiran tidak muat dalam e-mel; salinannya mengandungi semuanya.</v>
      </c>
    </row>
    <row r="353">
      <c r="A353" s="2" t="s">
        <v>815</v>
      </c>
      <c r="B353" s="2" t="s">
        <v>789</v>
      </c>
      <c r="C353" s="2" t="s">
        <v>816</v>
      </c>
      <c r="D353" s="2" t="s">
        <v>794</v>
      </c>
      <c r="E353" s="3" t="str">
        <f>IFERROR(__xludf.DUMMYFUNCTION("GOOGLETRANSLATE(C353,""en"",""zh-CN"")"),"已复制。请将其粘贴到发送至{address}的电子邮件中。")</f>
        <v>已复制。请将其粘贴到发送至{address}的电子邮件中。</v>
      </c>
      <c r="F353" s="3" t="str">
        <f>IFERROR(__xludf.DUMMYFUNCTION("GOOGLETRANSLATE(C353,""en"",""ms"")"),"Disalin. Tampalkannya ke dalam e-mel ke {address}.")</f>
        <v>Disalin. Tampalkannya ke dalam e-mel ke {address}.</v>
      </c>
    </row>
    <row r="354">
      <c r="A354" s="2" t="s">
        <v>817</v>
      </c>
      <c r="B354" s="2" t="s">
        <v>789</v>
      </c>
      <c r="C354" s="2" t="s">
        <v>818</v>
      </c>
      <c r="D354" s="3"/>
      <c r="E354" s="3" t="str">
        <f>IFERROR(__xludf.DUMMYFUNCTION("GOOGLETRANSLATE(C354,""en"",""zh-CN"")"),"无法复制。请打开“将随邮件发送的内容”，选择详细信息，然后将其复制到您的邮件中。")</f>
        <v>无法复制。请打开“将随邮件发送的内容”，选择详细信息，然后将其复制到您的邮件中。</v>
      </c>
      <c r="F354" s="3" t="str">
        <f>IFERROR(__xludf.DUMMYFUNCTION("GOOGLETRANSLATE(C354,""en"",""ms"")"),"Tidak dapat menyalin. Buka ""Apa yang akan dihantar bersamanya"", pilih butirannya dan salin butiran tersebut bersama mesej anda.")</f>
        <v>Tidak dapat menyalin. Buka "Apa yang akan dihantar bersamanya", pilih butirannya dan salin butiran tersebut bersama mesej anda.</v>
      </c>
    </row>
    <row r="355">
      <c r="A355" s="2" t="s">
        <v>819</v>
      </c>
      <c r="B355" s="2" t="s">
        <v>789</v>
      </c>
      <c r="C355" s="2" t="s">
        <v>820</v>
      </c>
      <c r="D355" s="3"/>
      <c r="E355" s="3" t="str">
        <f>IFERROR(__xludf.DUMMYFUNCTION("GOOGLETRANSLATE(C355,""en"",""zh-CN"")"),"邮件内容太长，只保存在“复制邮件正文和详细信息”中：")</f>
        <v>邮件内容太长，只保存在“复制邮件正文和详细信息”中：</v>
      </c>
      <c r="F355" s="3" t="str">
        <f>IFERROR(__xludf.DUMMYFUNCTION("GOOGLETRANSLATE(C355,""en"",""ms"")"),"Terlalu panjang untuk e-mel ini, jadi hanya dalam ""Salin mesej dan butiran"":")</f>
        <v>Terlalu panjang untuk e-mel ini, jadi hanya dalam "Salin mesej dan butiran":</v>
      </c>
    </row>
    <row r="356">
      <c r="A356" s="2" t="s">
        <v>821</v>
      </c>
      <c r="B356" s="2" t="s">
        <v>822</v>
      </c>
      <c r="C356" s="2" t="s">
        <v>823</v>
      </c>
      <c r="D356" s="3"/>
      <c r="E356" s="3" t="str">
        <f>IFERROR(__xludf.DUMMYFUNCTION("GOOGLETRANSLATE(C356,""en"",""zh-CN"")"),"MP4 视频 (.mp4)")</f>
        <v>MP4 视频 (.mp4)</v>
      </c>
      <c r="F356" s="3" t="str">
        <f>IFERROR(__xludf.DUMMYFUNCTION("GOOGLETRANSLATE(C356,""en"",""ms"")"),"Video MP4 (.mp4)")</f>
        <v>Video MP4 (.mp4)</v>
      </c>
    </row>
    <row r="357">
      <c r="A357" s="2" t="s">
        <v>824</v>
      </c>
      <c r="B357" s="2" t="s">
        <v>825</v>
      </c>
      <c r="C357" s="2" t="s">
        <v>826</v>
      </c>
      <c r="D357" s="2" t="s">
        <v>827</v>
      </c>
      <c r="E357" s="3" t="str">
        <f>IFERROR(__xludf.DUMMYFUNCTION("GOOGLETRANSLATE(C357,""en"",""zh-CN"")"),"视频")</f>
        <v>视频</v>
      </c>
      <c r="F357" s="3" t="str">
        <f>IFERROR(__xludf.DUMMYFUNCTION("GOOGLETRANSLATE(C357,""en"",""ms"")"),"video")</f>
        <v>video</v>
      </c>
    </row>
    <row r="358">
      <c r="A358" s="2" t="s">
        <v>828</v>
      </c>
      <c r="B358" s="2" t="s">
        <v>825</v>
      </c>
      <c r="C358" s="2" t="s">
        <v>829</v>
      </c>
      <c r="D358" s="2" t="s">
        <v>830</v>
      </c>
      <c r="E358" s="3" t="str">
        <f>IFERROR(__xludf.DUMMYFUNCTION("GOOGLETRANSLATE(C358,""en"",""zh-CN"")"),"品牌")</f>
        <v>品牌</v>
      </c>
      <c r="F358" s="3" t="str">
        <f>IFERROR(__xludf.DUMMYFUNCTION("GOOGLETRANSLATE(C358,""en"",""ms"")"),"berjenama")</f>
        <v>berjenama</v>
      </c>
    </row>
    <row r="359">
      <c r="A359" s="2" t="s">
        <v>831</v>
      </c>
      <c r="B359" s="2" t="s">
        <v>825</v>
      </c>
      <c r="C359" s="2" t="s">
        <v>832</v>
      </c>
      <c r="D359" s="2" t="s">
        <v>833</v>
      </c>
      <c r="E359" s="3" t="str">
        <f>IFERROR(__xludf.DUMMYFUNCTION("GOOGLETRANSLATE(C359,""en"",""zh-CN"")"),"平整")</f>
        <v>平整</v>
      </c>
      <c r="F359" s="3" t="str">
        <f>IFERROR(__xludf.DUMMYFUNCTION("GOOGLETRANSLATE(C359,""en"",""ms"")"),"diratakan")</f>
        <v>diratakan</v>
      </c>
    </row>
    <row r="360">
      <c r="A360" s="2" t="s">
        <v>834</v>
      </c>
      <c r="B360" s="2" t="s">
        <v>825</v>
      </c>
      <c r="C360" s="2" t="s">
        <v>835</v>
      </c>
      <c r="D360" s="2" t="s">
        <v>833</v>
      </c>
      <c r="E360" s="3" t="str">
        <f>IFERROR(__xludf.DUMMYFUNCTION("GOOGLETRANSLATE(C360,""en"",""zh-CN"")"),"转换")</f>
        <v>转换</v>
      </c>
      <c r="F360" s="3" t="str">
        <f>IFERROR(__xludf.DUMMYFUNCTION("GOOGLETRANSLATE(C360,""en"",""ms"")"),"ditukar")</f>
        <v>ditukar</v>
      </c>
    </row>
    <row r="361">
      <c r="A361" s="2" t="s">
        <v>836</v>
      </c>
      <c r="B361" s="2" t="s">
        <v>825</v>
      </c>
      <c r="C361" s="2" t="s">
        <v>837</v>
      </c>
      <c r="D361" s="2" t="s">
        <v>838</v>
      </c>
      <c r="E361" s="3" t="str">
        <f>IFERROR(__xludf.DUMMYFUNCTION("GOOGLETRANSLATE(C361,""en"",""zh-CN"")"),"{stem} ({mark}).mp4")</f>
        <v>{stem} ({mark}).mp4</v>
      </c>
      <c r="F361" s="3" t="str">
        <f>IFERROR(__xludf.DUMMYFUNCTION("GOOGLETRANSLATE(C361,""en"",""ms"")"),"{stem} ({mark}).mp4")</f>
        <v>{stem} ({mark}).mp4</v>
      </c>
    </row>
    <row r="362">
      <c r="A362" s="2" t="s">
        <v>839</v>
      </c>
      <c r="B362" s="2" t="s">
        <v>840</v>
      </c>
      <c r="C362" s="2" t="s">
        <v>841</v>
      </c>
      <c r="D362" s="3"/>
      <c r="E362" s="3" t="str">
        <f>IFERROR(__xludf.DUMMYFUNCTION("GOOGLETRANSLATE(C362,""en"",""zh-CN"")"),"保存到“文件”应用的“下载”文件夹中。")</f>
        <v>保存到“文件”应用的“下载”文件夹中。</v>
      </c>
      <c r="F362" s="3" t="str">
        <f>IFERROR(__xludf.DUMMYFUNCTION("GOOGLETRANSLATE(C362,""en"",""ms"")"),"Menyimpan ke aplikasi Fail, di bawah Muat Turun")</f>
        <v>Menyimpan ke aplikasi Fail, di bawah Muat Turun</v>
      </c>
    </row>
    <row r="363">
      <c r="A363" s="2" t="s">
        <v>842</v>
      </c>
      <c r="B363" s="2" t="s">
        <v>840</v>
      </c>
      <c r="C363" s="2" t="s">
        <v>843</v>
      </c>
      <c r="D363" s="3"/>
      <c r="E363" s="3" t="str">
        <f>IFERROR(__xludf.DUMMYFUNCTION("GOOGLETRANSLATE(C363,""en"",""zh-CN"")"),"保存到您的下载文件夹")</f>
        <v>保存到您的下载文件夹</v>
      </c>
      <c r="F363" s="3" t="str">
        <f>IFERROR(__xludf.DUMMYFUNCTION("GOOGLETRANSLATE(C363,""en"",""ms"")"),"Menyimpan ke folder muat turun anda")</f>
        <v>Menyimpan ke folder muat turun anda</v>
      </c>
    </row>
    <row r="364">
      <c r="A364" s="2" t="s">
        <v>844</v>
      </c>
      <c r="B364" s="2" t="s">
        <v>840</v>
      </c>
      <c r="C364" s="2" t="s">
        <v>845</v>
      </c>
      <c r="D364" s="2" t="s">
        <v>846</v>
      </c>
      <c r="E364" s="3" t="str">
        <f>IFERROR(__xludf.DUMMYFUNCTION("GOOGLETRANSLATE(C364,""en"",""zh-CN"")"),"{where} — 浏览器可能仍在处理视频。完成后，将其上传到目标位置，或在步骤 1 中选择另一个视频。视频会一直保留在此处，直到您开始播放另一个视频。")</f>
        <v>{where} — 浏览器可能仍在处理视频。完成后，将其上传到目标位置，或在步骤 1 中选择另一个视频。视频会一直保留在此处，直到您开始播放另一个视频。</v>
      </c>
      <c r="F364" s="3" t="str">
        <f>IFERROR(__xludf.DUMMYFUNCTION("GOOGLETRANSLATE(C364,""en"",""ms"")"),"{di mana} — pelayar mungkin masih sedang menyelesaikannya. Sebaik sahaja ia berada di sana, muat naik ke tempat yang dituju atau pilih video lain dalam langkah 1. Video tersebut kekal di sini sehingga anda memulakan video lain.")</f>
        <v>{di mana} — pelayar mungkin masih sedang menyelesaikannya. Sebaik sahaja ia berada di sana, muat naik ke tempat yang dituju atau pilih video lain dalam langkah 1. Video tersebut kekal di sini sehingga anda memulakan video lain.</v>
      </c>
    </row>
    <row r="365">
      <c r="A365" s="2" t="s">
        <v>847</v>
      </c>
      <c r="B365" s="2" t="s">
        <v>848</v>
      </c>
      <c r="C365" s="2" t="s">
        <v>849</v>
      </c>
      <c r="D365" s="2" t="s">
        <v>850</v>
      </c>
      <c r="E365" s="3" t="str">
        <f>IFERROR(__xludf.DUMMYFUNCTION("GOOGLETRANSLATE(C365,""en"",""zh-CN"")"),"未知")</f>
        <v>未知</v>
      </c>
      <c r="F365" s="3" t="str">
        <f>IFERROR(__xludf.DUMMYFUNCTION("GOOGLETRANSLATE(C365,""en"",""ms"")"),"tidak diketahui")</f>
        <v>tidak diketahui</v>
      </c>
    </row>
    <row r="366">
      <c r="A366" s="2" t="s">
        <v>851</v>
      </c>
      <c r="B366" s="2" t="s">
        <v>848</v>
      </c>
      <c r="C366" s="2" t="s">
        <v>852</v>
      </c>
      <c r="D366" s="3"/>
      <c r="E366" s="3" t="str">
        <f>IFERROR(__xludf.DUMMYFUNCTION("GOOGLETRANSLATE(C366,""en"",""zh-CN"")"),"不到一秒")</f>
        <v>不到一秒</v>
      </c>
      <c r="F366" s="3" t="str">
        <f>IFERROR(__xludf.DUMMYFUNCTION("GOOGLETRANSLATE(C366,""en"",""ms"")"),"kurang daripada satu saat")</f>
        <v>kurang daripada satu saat</v>
      </c>
    </row>
    <row r="367">
      <c r="A367" s="2" t="s">
        <v>853</v>
      </c>
      <c r="B367" s="2" t="s">
        <v>848</v>
      </c>
      <c r="C367" s="2" t="s">
        <v>854</v>
      </c>
      <c r="D367" s="3"/>
      <c r="E367" s="3" t="str">
        <f>IFERROR(__xludf.DUMMYFUNCTION("GOOGLETRANSLATE(C367,""en"",""zh-CN"")"),"几秒钟")</f>
        <v>几秒钟</v>
      </c>
      <c r="F367" s="3" t="str">
        <f>IFERROR(__xludf.DUMMYFUNCTION("GOOGLETRANSLATE(C367,""en"",""ms"")"),"beberapa saat")</f>
        <v>beberapa saat</v>
      </c>
    </row>
    <row r="368">
      <c r="A368" s="2" t="s">
        <v>855</v>
      </c>
      <c r="B368" s="2" t="s">
        <v>848</v>
      </c>
      <c r="C368" s="2" t="s">
        <v>856</v>
      </c>
      <c r="D368" s="2" t="s">
        <v>121</v>
      </c>
      <c r="E368" s="3" t="str">
        <f>IFERROR(__xludf.DUMMYFUNCTION("GOOGLETRANSLATE(C368,""en"",""zh-CN"")"),"每秒帧数")</f>
        <v>每秒帧数</v>
      </c>
      <c r="F368" s="3" t="str">
        <f>IFERROR(__xludf.DUMMYFUNCTION("GOOGLETRANSLATE(C368,""en"",""ms"")"),"{rate} membingkaikan sesaat")</f>
        <v>{rate} membingkaikan sesaat</v>
      </c>
    </row>
    <row r="369">
      <c r="A369" s="2" t="s">
        <v>857</v>
      </c>
      <c r="B369" s="2" t="s">
        <v>848</v>
      </c>
      <c r="C369" s="2" t="s">
        <v>858</v>
      </c>
      <c r="D369" s="2" t="s">
        <v>859</v>
      </c>
      <c r="E369" s="3" t="str">
        <f>IFERROR(__xludf.DUMMYFUNCTION("GOOGLETRANSLATE(C369,""en"",""zh-CN"")"),"{宽度} × {高度}")</f>
        <v>{宽度} × {高度}</v>
      </c>
      <c r="F369" s="3" t="str">
        <f>IFERROR(__xludf.DUMMYFUNCTION("GOOGLETRANSLATE(C369,""en"",""ms"")"),"{lebar} × {tinggi}")</f>
        <v>{lebar} × {tinggi}</v>
      </c>
    </row>
    <row r="370">
      <c r="A370" s="2" t="s">
        <v>860</v>
      </c>
      <c r="B370" s="2" t="s">
        <v>848</v>
      </c>
      <c r="C370" s="2" t="s">
        <v>861</v>
      </c>
      <c r="D370" s="3"/>
      <c r="E370" s="3" t="str">
        <f>IFERROR(__xludf.DUMMYFUNCTION("GOOGLETRANSLATE(C370,""en"",""zh-CN"")"),"单声道（单声道）")</f>
        <v>单声道（单声道）</v>
      </c>
      <c r="F370" s="3" t="str">
        <f>IFERROR(__xludf.DUMMYFUNCTION("GOOGLETRANSLATE(C370,""en"",""ms"")"),"Mono (satu saluran)")</f>
        <v>Mono (satu saluran)</v>
      </c>
    </row>
    <row r="371">
      <c r="A371" s="2" t="s">
        <v>862</v>
      </c>
      <c r="B371" s="2" t="s">
        <v>848</v>
      </c>
      <c r="C371" s="2" t="s">
        <v>863</v>
      </c>
      <c r="D371" s="3"/>
      <c r="E371" s="3" t="str">
        <f>IFERROR(__xludf.DUMMYFUNCTION("GOOGLETRANSLATE(C371,""en"",""zh-CN"")"),"立体声（双声道）")</f>
        <v>立体声（双声道）</v>
      </c>
      <c r="F371" s="3" t="str">
        <f>IFERROR(__xludf.DUMMYFUNCTION("GOOGLETRANSLATE(C371,""en"",""ms"")"),"Stereo (dua saluran)")</f>
        <v>Stereo (dua saluran)</v>
      </c>
    </row>
    <row r="372">
      <c r="A372" s="2" t="s">
        <v>864</v>
      </c>
      <c r="B372" s="2" t="s">
        <v>848</v>
      </c>
      <c r="C372" s="2" t="s">
        <v>865</v>
      </c>
      <c r="D372" s="3"/>
      <c r="E372" s="3" t="str">
        <f>IFERROR(__xludf.DUMMYFUNCTION("GOOGLETRANSLATE(C372,""en"",""zh-CN"")"),"5.1环绕声")</f>
        <v>5.1环绕声</v>
      </c>
      <c r="F372" s="3" t="str">
        <f>IFERROR(__xludf.DUMMYFUNCTION("GOOGLETRANSLATE(C372,""en"",""ms"")"),"5.1 keliling")</f>
        <v>5.1 keliling</v>
      </c>
    </row>
    <row r="373">
      <c r="A373" s="2" t="s">
        <v>866</v>
      </c>
      <c r="B373" s="2" t="s">
        <v>848</v>
      </c>
      <c r="C373" s="2" t="s">
        <v>867</v>
      </c>
      <c r="D373" s="3"/>
      <c r="E373" s="3" t="str">
        <f>IFERROR(__xludf.DUMMYFUNCTION("GOOGLETRANSLATE(C373,""en"",""zh-CN"")"),"7.1环绕声")</f>
        <v>7.1环绕声</v>
      </c>
      <c r="F373" s="3" t="str">
        <f>IFERROR(__xludf.DUMMYFUNCTION("GOOGLETRANSLATE(C373,""en"",""ms"")"),"7.1 keliling")</f>
        <v>7.1 keliling</v>
      </c>
    </row>
    <row r="374">
      <c r="A374" s="2" t="s">
        <v>868</v>
      </c>
      <c r="B374" s="2" t="s">
        <v>848</v>
      </c>
      <c r="C374" s="2" t="s">
        <v>869</v>
      </c>
      <c r="D374" s="2" t="s">
        <v>74</v>
      </c>
      <c r="E374" s="3" t="str">
        <f>IFERROR(__xludf.DUMMYFUNCTION("GOOGLETRANSLATE(C374,""en"",""zh-CN"")"),"{count} 个频道")</f>
        <v>{count} 个频道</v>
      </c>
      <c r="F374" s="3" t="str">
        <f>IFERROR(__xludf.DUMMYFUNCTION("GOOGLETRANSLATE(C374,""en"",""ms"")"),"{count} saluran")</f>
        <v>{count} saluran</v>
      </c>
    </row>
  </sheetData>
  <drawing r:id="rId1"/>
</worksheet>
</file>